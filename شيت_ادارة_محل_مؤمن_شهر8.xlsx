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<sst xmlns="http://schemas.openxmlformats.org/spreadsheetml/2006/main" count="151" uniqueCount="131">
  <si>
    <t xml:space="preserve">🏪  لوحة تحكم محل مؤمن</t>
  </si>
  <si>
    <t xml:space="preserve">كل الأرقام مرتبطة تلقائيًا بشيتات المخزن والمبيعات والمرتجعات والمصروفات</t>
  </si>
  <si>
    <t xml:space="preserve">💰 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</si>
  <si>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</si>
  <si>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</si>
  <si>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</si>
  <si>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</si>
  <si>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</si>
  <si>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</si>
  <si>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</si>
  <si>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</si>
  <si>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</si>
  <si>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 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</si>
  <si>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</si>
  <si>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</si>
  <si>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</si>
  <si>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 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</si>
  <si>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</si>
  <si>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</si>
  <si>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</si>
  <si>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</si>
  <si>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</si>
  <si>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</si>
  <si>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</si>
  <si>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</si>
  <si>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</si>
  <si>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</si>
  <si>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</si>
  <si>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</si>
  <si>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</si>
  <si>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تسوية الجرد (تراكمي)</t>
  </si>
  <si>
    <t xml:space="preserve">تي شيرت 2سوستة تركي</t>
  </si>
  <si>
    <t xml:space="preserve">تي شيرت بلانكو قصات</t>
  </si>
  <si>
    <t xml:space="preserve">تي شيرت حورس طباعة فوم</t>
  </si>
  <si>
    <t xml:space="preserve">تي شيرت كويك</t>
  </si>
  <si>
    <t xml:space="preserve">تي شيرت وولف سادة </t>
  </si>
  <si>
    <t xml:space="preserve">تي شيرت اليفين</t>
  </si>
  <si>
    <t xml:space="preserve">تي شيرت ترند تريكو</t>
  </si>
  <si>
    <t xml:space="preserve">تي شيرت بليزي</t>
  </si>
  <si>
    <t xml:space="preserve">تي شيرت كراش</t>
  </si>
  <si>
    <t xml:space="preserve">تي شيرت ياقة نور</t>
  </si>
  <si>
    <t xml:space="preserve">تي شيرت فيو مخربش</t>
  </si>
  <si>
    <t xml:space="preserve">تي شيرت ياقة عجينة</t>
  </si>
  <si>
    <t xml:space="preserve">تي شيرت ياقة فولكفر فيندي</t>
  </si>
  <si>
    <t xml:space="preserve">تي شيرت جولدن بوي ديور</t>
  </si>
  <si>
    <t xml:space="preserve">تي شيرت ديور باريس</t>
  </si>
  <si>
    <t xml:space="preserve">تي شيرت ياقة امريكان ايجل مونك</t>
  </si>
  <si>
    <t xml:space="preserve">تي شيرت مقلم عرض</t>
  </si>
  <si>
    <t xml:space="preserve">تي شيرت فري كم</t>
  </si>
  <si>
    <t xml:space="preserve">تي شيرت ليمون</t>
  </si>
  <si>
    <t xml:space="preserve">تي شيرت فولكفر ديور</t>
  </si>
  <si>
    <t xml:space="preserve">هودي 2سوستة شتوي</t>
  </si>
  <si>
    <t xml:space="preserve">تي شيرت بلانكو جديد</t>
  </si>
  <si>
    <t xml:space="preserve">تي شيرت فري عرض</t>
  </si>
  <si>
    <t xml:space="preserve">تي شيرت فري جلد</t>
  </si>
  <si>
    <t xml:space="preserve">تي شيرت فري طباعة رابر</t>
  </si>
  <si>
    <t xml:space="preserve">كات فري</t>
  </si>
  <si>
    <t xml:space="preserve">كات BOSS</t>
  </si>
  <si>
    <t xml:space="preserve">تي شيرت صيني</t>
  </si>
  <si>
    <t xml:space="preserve">تي شيرت دبل فيس</t>
  </si>
  <si>
    <t xml:space="preserve">سوت تي شيرت كابو</t>
  </si>
  <si>
    <t xml:space="preserve">سوت كتان كم</t>
  </si>
  <si>
    <t xml:space="preserve">سوت كتان نص كم</t>
  </si>
  <si>
    <t xml:space="preserve">قميص كوريشة</t>
  </si>
  <si>
    <t xml:space="preserve">قميص سبرينج سادة</t>
  </si>
  <si>
    <t xml:space="preserve">قميص كتان</t>
  </si>
  <si>
    <t xml:space="preserve">قميص جينز تقيل سبرينج</t>
  </si>
  <si>
    <t xml:space="preserve">قميص امريكان ايجل جينز</t>
  </si>
  <si>
    <t xml:space="preserve">قميص كامب جينز</t>
  </si>
  <si>
    <t xml:space="preserve">قميص حربي</t>
  </si>
  <si>
    <t xml:space="preserve">جبردين استك ZARA</t>
  </si>
  <si>
    <t xml:space="preserve">سوفت CABO</t>
  </si>
  <si>
    <t xml:space="preserve">شروال جبردين VEGAS</t>
  </si>
  <si>
    <t xml:space="preserve">شروال القنطرة</t>
  </si>
  <si>
    <t xml:space="preserve">جوستافو LINE3</t>
  </si>
  <si>
    <t xml:space="preserve">جوستافو رمادي</t>
  </si>
  <si>
    <t xml:space="preserve">جوستافو استك</t>
  </si>
  <si>
    <t xml:space="preserve">شروال كلاسيك</t>
  </si>
  <si>
    <t xml:space="preserve">شروال جبردين BOSS</t>
  </si>
  <si>
    <t xml:space="preserve">كارجو جينز</t>
  </si>
  <si>
    <t xml:space="preserve">ريلاكسيد نحاسي</t>
  </si>
  <si>
    <t xml:space="preserve">وايد ليج كاتنج</t>
  </si>
  <si>
    <t xml:space="preserve">دريب</t>
  </si>
  <si>
    <t xml:space="preserve">وايد ليج ديزل</t>
  </si>
  <si>
    <t xml:space="preserve">بلولاين جي بي اس جديد</t>
  </si>
  <si>
    <t xml:space="preserve">جينز جيب سيليكون</t>
  </si>
  <si>
    <t xml:space="preserve">جينز جيب تطريز بي</t>
  </si>
  <si>
    <t xml:space="preserve">وايد ليج سادة</t>
  </si>
  <si>
    <t xml:space="preserve">بوي فريند حبل</t>
  </si>
  <si>
    <t xml:space="preserve">بوي فريند حزام</t>
  </si>
  <si>
    <t xml:space="preserve">بلولاين القنطرة</t>
  </si>
  <si>
    <t xml:space="preserve">جينز اكس ثري</t>
  </si>
  <si>
    <t xml:space="preserve">بدي قصة</t>
  </si>
  <si>
    <t xml:space="preserve">مايوه نايك</t>
  </si>
  <si>
    <t xml:space="preserve">مايوه كيلفن كلاين</t>
  </si>
  <si>
    <t xml:space="preserve">جينز تمبرلاند</t>
  </si>
  <si>
    <t xml:space="preserve">تحزية</t>
  </si>
  <si>
    <t xml:space="preserve">بنطلون جبردين GPS</t>
  </si>
  <si>
    <t xml:space="preserve">بولو فيجس</t>
  </si>
  <si>
    <t xml:space="preserve">راوند فيجس</t>
  </si>
  <si>
    <t xml:space="preserve">شروال سوفت مستورد</t>
  </si>
  <si>
    <t xml:space="preserve">قميص بوكس فيت</t>
  </si>
  <si>
    <t xml:space="preserve">تيشيرت RNB</t>
  </si>
  <si>
    <t xml:space="preserve">تيشيرت XIO اوريجينال</t>
  </si>
  <si>
    <t xml:space="preserve">تيشيرت A|X</t>
  </si>
  <si>
    <t xml:space="preserve">قميص كتان XIO</t>
  </si>
  <si>
    <t xml:space="preserve">بنطلون كتان</t>
  </si>
  <si>
    <t xml:space="preserve">قميص نص كتان</t>
  </si>
  <si>
    <t xml:space="preserve">شورت كتان</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</si>
  <si>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</si>
  <si>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</si>
  <si>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</si>
  <si>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</si>
  <si>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</si>
  <si>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</si>
  <si>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</si>
  <si>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</si>
  <si>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</si>
  <si>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</si>
  <si>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</si>
  <si>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</si>
  <si>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</si>
  <si>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</si>
  <si>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</si>
  <si>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</si>
  <si>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</si>
  <si>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</si>
  <si>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سعر البيع وقت الإرجاع</t>
  </si>
  <si>
    <t xml:space="preserve">قيمة المرتجع</t>
  </si>
  <si>
    <t xml:space="preserve">البيان</t>
  </si>
  <si>
    <t xml:space="preserve">القيمة</t>
  </si>
</sst>
</file>

<file path=xl/styles.xml><?xml version="1.0" encoding="utf-8"?>
<styleSheet xmlns="http://schemas.openxmlformats.org/spreadsheetml/2006/main">
  <numFmts count="5">
    <numFmt numFmtId="164" formatCode="General"/>
    <numFmt numFmtId="165" formatCode="#,##0.00;\(#,##0.00\);\-"/>
    <numFmt numFmtId="166" formatCode="#,##0;\(#,##0\);\-"/>
    <numFmt numFmtId="167" formatCode="General"/>
    <numFmt numFmtId="168" formatCode="yyyy\-mm\-dd"/>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6B7280"/>
      <name val="Arial"/>
      <family val="0"/>
      <charset val="1"/>
    </font>
    <font>
      <b val="true"/>
      <sz val="12"/>
      <color rgb="FFFFFFFF"/>
      <name val="Arial"/>
      <family val="0"/>
      <charset val="1"/>
    </font>
    <font>
      <sz val="11"/>
      <color rgb="FF374151"/>
      <name val="Arial"/>
      <family val="0"/>
      <charset val="1"/>
    </font>
    <font>
      <b val="true"/>
      <sz val="13"/>
      <color rgb="FF111827"/>
      <name val="Arial"/>
      <family val="0"/>
      <charset val="1"/>
    </font>
    <font>
      <b val="true"/>
      <sz val="13"/>
      <color rgb="FF374151"/>
      <name val="Arial"/>
      <family val="0"/>
      <charset val="1"/>
    </font>
    <font>
      <b val="true"/>
      <sz val="16"/>
      <color rgb="FFB45309"/>
      <name val="Arial"/>
      <family val="0"/>
      <charset val="1"/>
    </font>
    <font>
      <i val="true"/>
      <sz val="9"/>
      <color rgb="FF9CA3AF"/>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
      <i val="true"/>
      <sz val="9"/>
      <color rgb="FF808080"/>
      <name val="Arial"/>
      <family val="0"/>
      <charset val="1"/>
    </font>
    <font>
      <i val="true"/>
      <sz val="10"/>
      <color rgb="FF808080"/>
      <name val="Arial"/>
      <family val="0"/>
      <charset val="1"/>
    </font>
  </fonts>
  <fills count="14">
    <fill>
      <patternFill patternType="none"/>
    </fill>
    <fill>
      <patternFill patternType="gray125"/>
    </fill>
    <fill>
      <patternFill patternType="solid">
        <fgColor rgb="FF1E3A8A"/>
        <bgColor rgb="FF374151"/>
      </patternFill>
    </fill>
    <fill>
      <patternFill patternType="solid">
        <fgColor rgb="FF059669"/>
        <bgColor rgb="FF15803D"/>
      </patternFill>
    </fill>
    <fill>
      <patternFill patternType="solid">
        <fgColor rgb="FFD1FAE5"/>
        <bgColor rgb="FFC6EFCE"/>
      </patternFill>
    </fill>
    <fill>
      <patternFill patternType="solid">
        <fgColor rgb="FFFEF3C7"/>
        <bgColor rgb="FFFFF2CC"/>
      </patternFill>
    </fill>
    <fill>
      <patternFill patternType="solid">
        <fgColor rgb="FF2563EB"/>
        <bgColor rgb="FF0066CC"/>
      </patternFill>
    </fill>
    <fill>
      <patternFill patternType="solid">
        <fgColor rgb="FFDBEAFE"/>
        <bgColor rgb="FFEDE9FE"/>
      </patternFill>
    </fill>
    <fill>
      <patternFill patternType="solid">
        <fgColor rgb="FF7C3AED"/>
        <bgColor rgb="FF6B7280"/>
      </patternFill>
    </fill>
    <fill>
      <patternFill patternType="solid">
        <fgColor rgb="FFEDE9FE"/>
        <bgColor rgb="FFDBEAFE"/>
      </patternFill>
    </fill>
    <fill>
      <patternFill patternType="solid">
        <fgColor rgb="FFFFF2CC"/>
        <bgColor rgb="FFFEF3C7"/>
      </patternFill>
    </fill>
    <fill>
      <patternFill patternType="solid">
        <fgColor rgb="FFDC2626"/>
        <bgColor rgb="FFB91C1C"/>
      </patternFill>
    </fill>
    <fill>
      <patternFill patternType="solid">
        <fgColor rgb="FFFEE2E2"/>
        <bgColor rgb="FFEDE9FE"/>
      </patternFill>
    </fill>
    <fill>
      <patternFill patternType="solid">
        <fgColor rgb="FFD97706"/>
        <bgColor rgb="FFFF9900"/>
      </patternFill>
    </fill>
  </fills>
  <borders count="14">
    <border diagonalUp="false" diagonalDown="false">
      <left/>
      <right/>
      <top/>
      <bottom/>
      <diagonal/>
    </border>
    <border diagonalUp="false" diagonalDown="false">
      <left style="thick">
        <color rgb="FF059669"/>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ck">
        <color rgb="FFB45309"/>
      </left>
      <right/>
      <top style="thin">
        <color rgb="FFD1D5DB"/>
      </top>
      <bottom style="thin">
        <color rgb="FFD1D5DB"/>
      </bottom>
      <diagonal/>
    </border>
    <border diagonalUp="false" diagonalDown="false">
      <left style="thick">
        <color rgb="FF2563EB"/>
      </left>
      <right/>
      <top style="thin">
        <color rgb="FFD1D5DB"/>
      </top>
      <bottom style="thin">
        <color rgb="FFD1D5DB"/>
      </bottom>
      <diagonal/>
    </border>
    <border diagonalUp="false" diagonalDown="false">
      <left style="thick">
        <color rgb="FF7C3AED"/>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medium">
        <color rgb="FF2563EB"/>
      </top>
      <bottom style="thin">
        <color rgb="FFD1D5DB"/>
      </bottom>
      <diagonal/>
    </border>
    <border diagonalUp="false" diagonalDown="false">
      <left style="thin">
        <color rgb="FFD1D5DB"/>
      </left>
      <right style="thin">
        <color rgb="FFD1D5DB"/>
      </right>
      <top style="medium">
        <color rgb="FF7C3AED"/>
      </top>
      <bottom style="thin">
        <color rgb="FFD1D5DB"/>
      </bottom>
      <diagonal/>
    </border>
    <border diagonalUp="false" diagonalDown="false">
      <left style="thin">
        <color rgb="FFD1D5DB"/>
      </left>
      <right style="thin">
        <color rgb="FFD1D5DB"/>
      </right>
      <top style="medium">
        <color rgb="FF059669"/>
      </top>
      <bottom style="thin">
        <color rgb="FFD1D5DB"/>
      </bottom>
      <diagonal/>
    </border>
    <border diagonalUp="false" diagonalDown="false">
      <left style="thin">
        <color rgb="FFD1D5DB"/>
      </left>
      <right style="thin">
        <color rgb="FFD1D5DB"/>
      </right>
      <top style="medium">
        <color rgb="FFDC2626"/>
      </top>
      <bottom style="thin">
        <color rgb="FFD1D5DB"/>
      </bottom>
      <diagonal/>
    </border>
    <border diagonalUp="false" diagonalDown="false">
      <left style="thin">
        <color rgb="FFD1D5DB"/>
      </left>
      <right style="thin">
        <color rgb="FFD1D5DB"/>
      </right>
      <top style="medium">
        <color rgb="FFD97706"/>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right" vertical="center" textRotation="0" wrapText="false" indent="1"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right" vertical="center" textRotation="0" wrapText="false" indent="1" shrinkToFit="false"/>
      <protection locked="true" hidden="false"/>
    </xf>
    <xf numFmtId="165" fontId="8" fillId="4" borderId="2"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1"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right" vertical="center" textRotation="0" wrapText="false" indent="1"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7" fillId="7" borderId="4" xfId="0" applyFont="true" applyBorder="true" applyAlignment="true" applyProtection="false">
      <alignment horizontal="right" vertical="center" textRotation="0" wrapText="false" indent="1" shrinkToFit="false"/>
      <protection locked="true" hidden="false"/>
    </xf>
    <xf numFmtId="165" fontId="8" fillId="7" borderId="2" xfId="0" applyFont="true" applyBorder="true" applyAlignment="true" applyProtection="false">
      <alignment horizontal="center" vertical="center" textRotation="0" wrapText="false" indent="0" shrinkToFit="false"/>
      <protection locked="true" hidden="false"/>
    </xf>
    <xf numFmtId="166" fontId="8" fillId="7" borderId="2"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right" vertical="center" textRotation="0" wrapText="false" indent="1"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7" fillId="9" borderId="5" xfId="0" applyFont="true" applyBorder="true" applyAlignment="true" applyProtection="false">
      <alignment horizontal="right" vertical="center" textRotation="0" wrapText="false" indent="1" shrinkToFit="false"/>
      <protection locked="true" hidden="false"/>
    </xf>
    <xf numFmtId="166" fontId="8" fillId="9"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right" vertical="center" textRotation="0" wrapText="tru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6" fontId="13" fillId="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right"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6" fontId="14" fillId="0" borderId="7" xfId="0" applyFont="true" applyBorder="true" applyAlignment="true" applyProtection="false">
      <alignment horizontal="center" vertical="center" textRotation="0" wrapText="true" indent="0" shrinkToFit="false"/>
      <protection locked="true" hidden="false"/>
    </xf>
    <xf numFmtId="166" fontId="15" fillId="0" borderId="7" xfId="0" applyFont="true" applyBorder="true" applyAlignment="true" applyProtection="false">
      <alignment horizontal="center" vertical="center" textRotation="0" wrapText="true" indent="0" shrinkToFit="false"/>
      <protection locked="true" hidden="false"/>
    </xf>
    <xf numFmtId="165" fontId="14" fillId="0" borderId="7" xfId="0" applyFont="true" applyBorder="true" applyAlignment="true" applyProtection="false">
      <alignment horizontal="center" vertical="center" textRotation="0" wrapText="true" indent="0" shrinkToFit="false"/>
      <protection locked="true" hidden="false"/>
    </xf>
    <xf numFmtId="165" fontId="13" fillId="0" borderId="7" xfId="0" applyFont="true" applyBorder="true" applyAlignment="true" applyProtection="false">
      <alignment horizontal="center" vertical="center" textRotation="0" wrapText="true" indent="0" shrinkToFit="false"/>
      <protection locked="true" hidden="false"/>
    </xf>
    <xf numFmtId="166" fontId="14" fillId="0" borderId="6" xfId="0" applyFont="true" applyBorder="true" applyAlignment="true" applyProtection="false">
      <alignment horizontal="center" vertical="center" textRotation="0" wrapText="false" indent="0" shrinkToFit="false"/>
      <protection locked="true" hidden="false"/>
    </xf>
    <xf numFmtId="164" fontId="16" fillId="10" borderId="8" xfId="0" applyFont="true" applyBorder="true" applyAlignment="true" applyProtection="false">
      <alignment horizontal="center" vertical="center" textRotation="0" wrapText="tru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66" fontId="17" fillId="7" borderId="9" xfId="0" applyFont="true" applyBorder="true" applyAlignment="true" applyProtection="false">
      <alignment horizontal="center" vertical="center" textRotation="0" wrapText="true" indent="0" shrinkToFit="false"/>
      <protection locked="true" hidden="false"/>
    </xf>
    <xf numFmtId="165" fontId="17" fillId="7" borderId="9" xfId="0" applyFont="true" applyBorder="true" applyAlignment="true" applyProtection="false">
      <alignment horizontal="center" vertical="center" textRotation="0" wrapText="true" indent="0" shrinkToFit="false"/>
      <protection locked="true" hidden="false"/>
    </xf>
    <xf numFmtId="166" fontId="17" fillId="7" borderId="9"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2" fillId="8" borderId="6" xfId="0" applyFont="true" applyBorder="true" applyAlignment="true" applyProtection="false">
      <alignment horizontal="center" vertical="center" textRotation="0" wrapText="true" indent="0" shrinkToFit="false"/>
      <protection locked="true" hidden="false"/>
    </xf>
    <xf numFmtId="167" fontId="13" fillId="0" borderId="7" xfId="0" applyFont="true" applyBorder="true" applyAlignment="true" applyProtection="false">
      <alignment horizontal="center" vertical="center" textRotation="0" wrapText="false" indent="0" shrinkToFit="false"/>
      <protection locked="true" hidden="false"/>
    </xf>
    <xf numFmtId="164" fontId="15" fillId="0" borderId="7" xfId="0" applyFont="true" applyBorder="true" applyAlignment="true" applyProtection="false">
      <alignment horizontal="right" vertical="center" textRotation="0" wrapText="false" indent="0" shrinkToFit="false"/>
      <protection locked="true" hidden="false"/>
    </xf>
    <xf numFmtId="164" fontId="15" fillId="0" borderId="7" xfId="0" applyFont="true" applyBorder="true" applyAlignment="true" applyProtection="false">
      <alignment horizontal="center" vertical="center" textRotation="0" wrapText="false" indent="0" shrinkToFit="false"/>
      <protection locked="true" hidden="false"/>
    </xf>
    <xf numFmtId="166" fontId="15" fillId="0" borderId="7" xfId="0" applyFont="true" applyBorder="true" applyAlignment="true" applyProtection="false">
      <alignment horizontal="center" vertical="center" textRotation="0" wrapText="false" indent="0" shrinkToFit="false"/>
      <protection locked="true" hidden="false"/>
    </xf>
    <xf numFmtId="166" fontId="14" fillId="0" borderId="7" xfId="0" applyFont="true" applyBorder="true" applyAlignment="true" applyProtection="false">
      <alignment horizontal="center" vertical="center" textRotation="0" wrapText="false" indent="0" shrinkToFit="false"/>
      <protection locked="true" hidden="false"/>
    </xf>
    <xf numFmtId="166" fontId="13" fillId="0" borderId="7" xfId="0" applyFont="true" applyBorder="true" applyAlignment="true" applyProtection="false">
      <alignment horizontal="center" vertical="center" textRotation="0" wrapText="false" indent="0" shrinkToFit="false"/>
      <protection locked="true" hidden="false"/>
    </xf>
    <xf numFmtId="164" fontId="17" fillId="0" borderId="7" xfId="0" applyFont="true" applyBorder="true" applyAlignment="true" applyProtection="false">
      <alignment horizontal="center" vertical="center" textRotation="0" wrapText="false" indent="0" shrinkToFit="false"/>
      <protection locked="true" hidden="false"/>
    </xf>
    <xf numFmtId="165" fontId="15" fillId="0" borderId="7" xfId="0" applyFont="true" applyBorder="true" applyAlignment="true" applyProtection="false">
      <alignment horizontal="center" vertical="center" textRotation="0" wrapText="false" indent="0" shrinkToFit="false"/>
      <protection locked="true" hidden="false"/>
    </xf>
    <xf numFmtId="165" fontId="13" fillId="0" borderId="7" xfId="0" applyFont="true" applyBorder="true" applyAlignment="true" applyProtection="false">
      <alignment horizontal="center" vertical="center" textRotation="0" wrapText="false" indent="0" shrinkToFit="false"/>
      <protection locked="true" hidden="false"/>
    </xf>
    <xf numFmtId="164" fontId="17" fillId="9" borderId="10" xfId="0" applyFont="true" applyBorder="true" applyAlignment="true" applyProtection="false">
      <alignment horizontal="general" vertical="bottom" textRotation="0" wrapText="false" indent="0" shrinkToFit="false"/>
      <protection locked="true" hidden="false"/>
    </xf>
    <xf numFmtId="164" fontId="17" fillId="9" borderId="10" xfId="0" applyFont="true" applyBorder="true" applyAlignment="true" applyProtection="false">
      <alignment horizontal="right" vertical="center" textRotation="0" wrapText="false" indent="0" shrinkToFit="false"/>
      <protection locked="true" hidden="false"/>
    </xf>
    <xf numFmtId="166" fontId="17" fillId="9" borderId="10" xfId="0" applyFont="true" applyBorder="true" applyAlignment="true" applyProtection="false">
      <alignment horizontal="center" vertical="center" textRotation="0" wrapText="false" indent="0" shrinkToFit="false"/>
      <protection locked="true" hidden="false"/>
    </xf>
    <xf numFmtId="165" fontId="17" fillId="9" borderId="1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7" fontId="17"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right" vertical="bottom" textRotation="0" wrapText="true" indent="0" shrinkToFit="false"/>
      <protection locked="true" hidden="false"/>
    </xf>
    <xf numFmtId="164" fontId="12" fillId="3" borderId="6" xfId="0" applyFont="true" applyBorder="true" applyAlignment="true" applyProtection="false">
      <alignment horizontal="center" vertical="center" textRotation="0" wrapText="true" indent="0" shrinkToFit="false"/>
      <protection locked="true" hidden="false"/>
    </xf>
    <xf numFmtId="168" fontId="14" fillId="0" borderId="7" xfId="0" applyFont="true" applyBorder="true" applyAlignment="true" applyProtection="false">
      <alignment horizontal="center"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5" fontId="15" fillId="0" borderId="7" xfId="0" applyFont="true" applyBorder="true" applyAlignment="true" applyProtection="false">
      <alignment horizontal="center" vertical="center" textRotation="0" wrapText="true" indent="0" shrinkToFit="false"/>
      <protection locked="true" hidden="false"/>
    </xf>
    <xf numFmtId="164" fontId="17" fillId="4" borderId="11" xfId="0" applyFont="true" applyBorder="true" applyAlignment="true" applyProtection="false">
      <alignment horizontal="general" vertical="bottom" textRotation="0" wrapText="false" indent="0" shrinkToFit="false"/>
      <protection locked="true" hidden="false"/>
    </xf>
    <xf numFmtId="166" fontId="17" fillId="4" borderId="11" xfId="0" applyFont="true" applyBorder="true" applyAlignment="true" applyProtection="false">
      <alignment horizontal="center" vertical="center" textRotation="0" wrapText="true" indent="0" shrinkToFit="false"/>
      <protection locked="true" hidden="false"/>
    </xf>
    <xf numFmtId="165" fontId="17" fillId="4" borderId="11" xfId="0" applyFont="true" applyBorder="true" applyAlignment="true" applyProtection="false">
      <alignment horizontal="center" vertical="center" textRotation="0" wrapText="true" indent="0" shrinkToFit="false"/>
      <protection locked="true" hidden="false"/>
    </xf>
    <xf numFmtId="164" fontId="12" fillId="11" borderId="6" xfId="0" applyFont="true" applyBorder="true" applyAlignment="true" applyProtection="false">
      <alignment horizontal="center" vertical="center" textRotation="0" wrapText="true" indent="0" shrinkToFit="false"/>
      <protection locked="true" hidden="false"/>
    </xf>
    <xf numFmtId="164" fontId="17" fillId="12" borderId="12" xfId="0" applyFont="true" applyBorder="true" applyAlignment="true" applyProtection="false">
      <alignment horizontal="general" vertical="bottom" textRotation="0" wrapText="false" indent="0" shrinkToFit="false"/>
      <protection locked="true" hidden="false"/>
    </xf>
    <xf numFmtId="166" fontId="17" fillId="12" borderId="12" xfId="0" applyFont="true" applyBorder="true" applyAlignment="true" applyProtection="false">
      <alignment horizontal="center" vertical="center" textRotation="0" wrapText="true" indent="0" shrinkToFit="false"/>
      <protection locked="true" hidden="false"/>
    </xf>
    <xf numFmtId="165" fontId="17" fillId="12" borderId="12" xfId="0" applyFont="true" applyBorder="true" applyAlignment="true" applyProtection="false">
      <alignment horizontal="center" vertical="center" textRotation="0" wrapText="true" indent="0" shrinkToFit="false"/>
      <protection locked="true" hidden="false"/>
    </xf>
    <xf numFmtId="164" fontId="12" fillId="13" borderId="6" xfId="0" applyFont="true" applyBorder="true" applyAlignment="true" applyProtection="false">
      <alignment horizontal="center" vertical="center" textRotation="0" wrapText="true" indent="0" shrinkToFit="false"/>
      <protection locked="true" hidden="false"/>
    </xf>
    <xf numFmtId="164" fontId="17" fillId="5" borderId="13" xfId="0" applyFont="true" applyBorder="true" applyAlignment="true" applyProtection="false">
      <alignment horizontal="general" vertical="bottom" textRotation="0" wrapText="false" indent="0" shrinkToFit="false"/>
      <protection locked="true" hidden="false"/>
    </xf>
    <xf numFmtId="165" fontId="17" fillId="5" borderId="1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B91C1C"/>
        <sz val="16"/>
      </font>
    </dxf>
    <dxf>
      <font>
        <name val="Arial"/>
        <charset val="1"/>
        <family val="0"/>
        <b val="1"/>
        <color rgb="FF15803D"/>
        <sz val="16"/>
      </font>
    </dxf>
    <dxf>
      <fill>
        <patternFill>
          <bgColor rgb="FFDBEAFE"/>
        </patternFill>
      </fill>
    </dxf>
    <dxf>
      <font>
        <name val="Arial"/>
        <charset val="1"/>
        <family val="0"/>
        <b val="1"/>
        <color rgb="FFFFFFFF"/>
        <sz val="11"/>
      </font>
      <fill>
        <patternFill>
          <bgColor rgb="FFDC2626"/>
        </patternFill>
      </fill>
    </dxf>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
      <font>
        <name val="Arial"/>
        <charset val="1"/>
        <family val="0"/>
        <b val="1"/>
        <color rgb="FF991B1B"/>
      </font>
      <fill>
        <patternFill>
          <bgColor rgb="FFFECACA"/>
        </patternFill>
      </fill>
    </dxf>
    <dxf>
      <font>
        <name val="Arial"/>
        <charset val="1"/>
        <family val="0"/>
        <b val="1"/>
        <color rgb="FF92400E"/>
      </font>
      <fill>
        <patternFill>
          <bgColor rgb="FFFDE68A"/>
        </patternFill>
      </fill>
    </dxf>
    <dxf>
      <font>
        <name val="Arial"/>
        <charset val="1"/>
        <family val="0"/>
        <b val="1"/>
        <color rgb="FF166534"/>
      </font>
      <fill>
        <patternFill>
          <bgColor rgb="FFBBF7D0"/>
        </patternFill>
      </fill>
    </dxf>
    <dxf>
      <fill>
        <patternFill>
          <bgColor rgb="FFEDE9FE"/>
        </patternFill>
      </fill>
    </dxf>
    <dxf>
      <fill>
        <patternFill>
          <bgColor rgb="FFD1FAE5"/>
        </patternFill>
      </fill>
    </dxf>
    <dxf>
      <fill>
        <patternFill>
          <bgColor rgb="FFFEE2E2"/>
        </patternFill>
      </fill>
    </dxf>
    <dxf>
      <fill>
        <patternFill>
          <bgColor rgb="FFFEF3C7"/>
        </patternFill>
      </fill>
    </dxf>
  </dxfs>
  <colors>
    <indexedColors>
      <rgbColor rgb="FF000000"/>
      <rgbColor rgb="FFFFFFFF"/>
      <rgbColor rgb="FFDC2626"/>
      <rgbColor rgb="FF00FF00"/>
      <rgbColor rgb="FF0000FF"/>
      <rgbColor rgb="FFFDE68A"/>
      <rgbColor rgb="FFFF00FF"/>
      <rgbColor rgb="FF00FFFF"/>
      <rgbColor rgb="FF9C0006"/>
      <rgbColor rgb="FF008000"/>
      <rgbColor rgb="FF000080"/>
      <rgbColor rgb="FF9C6500"/>
      <rgbColor rgb="FF7C3AED"/>
      <rgbColor rgb="FF059669"/>
      <rgbColor rgb="FFBFBFBF"/>
      <rgbColor rgb="FF808080"/>
      <rgbColor rgb="FFC6EFCE"/>
      <rgbColor rgb="FFB91C1C"/>
      <rgbColor rgb="FFFEF3C7"/>
      <rgbColor rgb="FFDBEAFE"/>
      <rgbColor rgb="FF660066"/>
      <rgbColor rgb="FFFF8080"/>
      <rgbColor rgb="FF0066CC"/>
      <rgbColor rgb="FFD1D5DB"/>
      <rgbColor rgb="FF000080"/>
      <rgbColor rgb="FFFF00FF"/>
      <rgbColor rgb="FFFFF2CC"/>
      <rgbColor rgb="FF00FFFF"/>
      <rgbColor rgb="FF800080"/>
      <rgbColor rgb="FF991B1B"/>
      <rgbColor rgb="FF15803D"/>
      <rgbColor rgb="FF0000FF"/>
      <rgbColor rgb="FF00CCFF"/>
      <rgbColor rgb="FFBBF7D0"/>
      <rgbColor rgb="FFD1FAE5"/>
      <rgbColor rgb="FFFFEB9C"/>
      <rgbColor rgb="FFB7B7B7"/>
      <rgbColor rgb="FFF8CBCB"/>
      <rgbColor rgb="FFFEE2E2"/>
      <rgbColor rgb="FFFECACA"/>
      <rgbColor rgb="FF2563EB"/>
      <rgbColor rgb="FF33CCCC"/>
      <rgbColor rgb="FF99CC00"/>
      <rgbColor rgb="FFEDE9FE"/>
      <rgbColor rgb="FFFF9900"/>
      <rgbColor rgb="FFD97706"/>
      <rgbColor rgb="FF6B7280"/>
      <rgbColor rgb="FF9CA3AF"/>
      <rgbColor rgb="FF166534"/>
      <rgbColor rgb="FF339966"/>
      <rgbColor rgb="FF111827"/>
      <rgbColor rgb="FF006100"/>
      <rgbColor rgb="FF92400E"/>
      <rgbColor rgb="FFB45309"/>
      <rgbColor rgb="FF1E3A8A"/>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B2:F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20"/>
    <col collapsed="false" customWidth="true" hidden="false" outlineLevel="0" max="4" min="4" style="1" width="3"/>
    <col collapsed="false" customWidth="true" hidden="false" outlineLevel="0" max="5" min="5" style="1" width="34"/>
    <col collapsed="false" customWidth="true" hidden="false" outlineLevel="0" max="6" min="6" style="1" width="20"/>
  </cols>
  <sheetData>
    <row r="2" customFormat="false" ht="36" hidden="false" customHeight="true" outlineLevel="0" collapsed="false">
      <c r="B2" s="2" t="s">
        <v>0</v>
      </c>
      <c r="C2" s="2"/>
      <c r="D2" s="2"/>
      <c r="E2" s="2"/>
      <c r="F2" s="2"/>
    </row>
    <row r="3" customFormat="false" ht="19.5" hidden="false" customHeight="true" outlineLevel="0" collapsed="false">
      <c r="B3" s="3" t="s">
        <v>1</v>
      </c>
      <c r="C3" s="3"/>
      <c r="D3" s="3"/>
      <c r="E3" s="3"/>
      <c r="F3" s="3"/>
    </row>
    <row r="5" customFormat="false" ht="24" hidden="false" customHeight="true" outlineLevel="0" collapsed="false">
      <c r="B5" s="4" t="s">
        <v>2</v>
      </c>
      <c r="C5" s="4"/>
      <c r="D5" s="5"/>
    </row>
    <row r="6" customFormat="false" ht="21.75" hidden="false" customHeight="true" outlineLevel="0" collapsed="false">
      <c r="B6" s="6" t="s">
        <v>3</v>
      </c>
      <c r="C6" s="7" t="n">
        <f aca="false">المبيعات!G403</f>
        <v>0</v>
      </c>
    </row>
    <row r="7" customFormat="false" ht="21.75" hidden="false" customHeight="true" outlineLevel="0" collapsed="false">
      <c r="B7" s="6" t="s">
        <v>4</v>
      </c>
      <c r="C7" s="7" t="n">
        <f aca="false">المرتجعات!G303</f>
        <v>0</v>
      </c>
    </row>
    <row r="8" customFormat="false" ht="21.75" hidden="false" customHeight="true" outlineLevel="0" collapsed="false">
      <c r="B8" s="6" t="s">
        <v>5</v>
      </c>
      <c r="C8" s="7" t="n">
        <f aca="false">C6-C7</f>
        <v>0</v>
      </c>
    </row>
    <row r="9" customFormat="false" ht="21.75" hidden="false" customHeight="true" outlineLevel="0" collapsed="false">
      <c r="B9" s="6" t="s">
        <v>6</v>
      </c>
      <c r="C9" s="7" t="n">
        <f aca="false">المبيعات!I403</f>
        <v>0</v>
      </c>
    </row>
    <row r="10" customFormat="false" ht="21.75" hidden="false" customHeight="true" outlineLevel="0" collapsed="false">
      <c r="B10" s="6" t="s">
        <v>7</v>
      </c>
      <c r="C10" s="7" t="n">
        <f aca="false">المرتجعات!I303</f>
        <v>0</v>
      </c>
    </row>
    <row r="11" customFormat="false" ht="21.75" hidden="false" customHeight="true" outlineLevel="0" collapsed="false">
      <c r="B11" s="6" t="s">
        <v>8</v>
      </c>
      <c r="C11" s="7" t="n">
        <f aca="false">C9-C10</f>
        <v>0</v>
      </c>
    </row>
    <row r="12" customFormat="false" ht="21.75" hidden="false" customHeight="true" outlineLevel="0" collapsed="false">
      <c r="B12" s="6" t="s">
        <v>9</v>
      </c>
      <c r="C12" s="7" t="n">
        <f aca="false">C8-C11</f>
        <v>0</v>
      </c>
    </row>
    <row r="13" customFormat="false" ht="21.75" hidden="false" customHeight="true" outlineLevel="0" collapsed="false">
      <c r="B13" s="6" t="s">
        <v>10</v>
      </c>
      <c r="C13" s="7" t="n">
        <f aca="false">المصروفات!D303</f>
        <v>0</v>
      </c>
    </row>
    <row r="14" customFormat="false" ht="30" hidden="false" customHeight="true" outlineLevel="0" collapsed="false">
      <c r="B14" s="8" t="s">
        <v>11</v>
      </c>
      <c r="C14" s="9" t="n">
        <f aca="false">C12-C13</f>
        <v>0</v>
      </c>
    </row>
    <row r="16" customFormat="false" ht="24" hidden="false" customHeight="true" outlineLevel="0" collapsed="false">
      <c r="B16" s="10" t="s">
        <v>12</v>
      </c>
      <c r="C16" s="10"/>
      <c r="D16" s="11"/>
    </row>
    <row r="17" customFormat="false" ht="21.75" hidden="false" customHeight="true" outlineLevel="0" collapsed="false">
      <c r="B17" s="12" t="s">
        <v>13</v>
      </c>
      <c r="C17" s="13" t="n">
        <f aca="false">المخزن!I203</f>
        <v>104720</v>
      </c>
    </row>
    <row r="18" customFormat="false" ht="21.75" hidden="false" customHeight="true" outlineLevel="0" collapsed="false">
      <c r="B18" s="12" t="s">
        <v>14</v>
      </c>
      <c r="C18" s="14" t="n">
        <f aca="false">COUNTA(المخزن!B2:B201)</f>
        <v>78</v>
      </c>
    </row>
    <row r="19" customFormat="false" ht="21.75" hidden="false" customHeight="true" outlineLevel="0" collapsed="false">
      <c r="B19" s="12" t="s">
        <v>15</v>
      </c>
      <c r="C19" s="14" t="n">
        <f aca="false">المخزن!G203</f>
        <v>410</v>
      </c>
    </row>
    <row r="21" customFormat="false" ht="24" hidden="false" customHeight="true" outlineLevel="0" collapsed="false">
      <c r="B21" s="15" t="s">
        <v>16</v>
      </c>
      <c r="C21" s="15"/>
      <c r="D21" s="16"/>
    </row>
    <row r="22" customFormat="false" ht="21.75" hidden="false" customHeight="true" outlineLevel="0" collapsed="false">
      <c r="B22" s="17" t="s">
        <v>17</v>
      </c>
      <c r="C22" s="18" t="n">
        <f aca="false">COUNTA(المبيعات!C2:C401)</f>
        <v>0</v>
      </c>
    </row>
    <row r="23" customFormat="false" ht="21.75" hidden="false" customHeight="true" outlineLevel="0" collapsed="false">
      <c r="B23" s="17" t="s">
        <v>18</v>
      </c>
      <c r="C23" s="18" t="n">
        <f aca="false">COUNTA(المرتجعات!C2:C301)</f>
        <v>0</v>
      </c>
    </row>
    <row r="24" customFormat="false" ht="21.75" hidden="false" customHeight="true" outlineLevel="0" collapsed="false">
      <c r="B24" s="17" t="s">
        <v>19</v>
      </c>
      <c r="C24" s="18" t="n">
        <f aca="false">COUNTA(المصروفات!C2:C301)</f>
        <v>0</v>
      </c>
    </row>
    <row r="26" customFormat="false" ht="39.75" hidden="false" customHeight="true" outlineLevel="0" collapsed="false">
      <c r="B26" s="19" t="s">
        <v>20</v>
      </c>
      <c r="C26" s="19"/>
      <c r="D26" s="19"/>
      <c r="E26" s="19"/>
      <c r="F26" s="19"/>
    </row>
    <row r="27" customFormat="false" ht="15" hidden="false" customHeight="true" outlineLevel="0" collapsed="false">
      <c r="B27" s="19"/>
      <c r="C27" s="19"/>
      <c r="D27" s="19"/>
      <c r="E27" s="19"/>
      <c r="F27" s="19"/>
    </row>
    <row r="28" customFormat="false" ht="15" hidden="false" customHeight="true" outlineLevel="0" collapsed="false">
      <c r="B28" s="19"/>
      <c r="C28" s="19"/>
      <c r="D28" s="19"/>
      <c r="E28" s="19"/>
      <c r="F28" s="19"/>
    </row>
  </sheetData>
  <mergeCells count="6">
    <mergeCell ref="B2:F2"/>
    <mergeCell ref="B3:F3"/>
    <mergeCell ref="B5:C5"/>
    <mergeCell ref="B16:C16"/>
    <mergeCell ref="B21:C21"/>
    <mergeCell ref="B26:F28"/>
  </mergeCells>
  <conditionalFormatting sqref="C14">
    <cfRule type="expression" priority="2" aboveAverage="0" equalAverage="0" bottom="0" percent="0" rank="0" text="" dxfId="0">
      <formula>C14&lt;0</formula>
    </cfRule>
    <cfRule type="expression" priority="3" aboveAverage="0" equalAverage="0" bottom="0" percent="0" rank="0" text="" dxfId="1">
      <formula>C14&gt;=0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J205"/>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3" activeCellId="0" sqref="D33"/>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 collapsed="false" customWidth="true" hidden="false" outlineLevel="0" max="10" min="10" style="1" width="18"/>
  </cols>
  <sheetData>
    <row r="1" customFormat="false" ht="27.75" hidden="false" customHeight="true" outlineLevel="0" collapsed="false">
      <c r="A1" s="20" t="s">
        <v>21</v>
      </c>
      <c r="B1" s="20" t="s">
        <v>22</v>
      </c>
      <c r="C1" s="20" t="s">
        <v>23</v>
      </c>
      <c r="D1" s="20" t="s">
        <v>24</v>
      </c>
      <c r="E1" s="20" t="s">
        <v>25</v>
      </c>
      <c r="F1" s="20" t="s">
        <v>26</v>
      </c>
      <c r="G1" s="20" t="s">
        <v>27</v>
      </c>
      <c r="H1" s="20" t="s">
        <v>28</v>
      </c>
      <c r="I1" s="20" t="s">
        <v>29</v>
      </c>
      <c r="J1" s="20" t="s">
        <v>30</v>
      </c>
    </row>
    <row r="2" customFormat="false" ht="15" hidden="false" customHeight="true" outlineLevel="0" collapsed="false">
      <c r="A2" s="21" t="n">
        <f aca="false">IF(B2="","",ROW()-1)</f>
        <v>1</v>
      </c>
      <c r="B2" s="22" t="s">
        <v>31</v>
      </c>
      <c r="C2" s="23" t="str">
        <f aca="false">IF(B2="","","200"&amp;TEXT(ROW()-1,"0000000000"))</f>
        <v>2000000000001</v>
      </c>
      <c r="D2" s="24" t="n">
        <v>1</v>
      </c>
      <c r="E2" s="25" t="n">
        <f aca="false">IF($B2="",0,SUMIF(المبيعات!$D$2:$D$401,$C2,المبيعات!$E$2:$E$401))</f>
        <v>0</v>
      </c>
      <c r="F2" s="25" t="n">
        <f aca="false">IF($B2="",0,SUMIF(المرتجعات!$D$2:$D$301,$C2,المرتجعات!$E$2:$E$301))</f>
        <v>0</v>
      </c>
      <c r="G2" s="21" t="n">
        <f aca="false">D2-E2+F2+J2</f>
        <v>1</v>
      </c>
      <c r="H2" s="26" t="n">
        <v>360</v>
      </c>
      <c r="I2" s="27" t="n">
        <f aca="false">G2*H2</f>
        <v>360</v>
      </c>
      <c r="J2" s="28" t="n">
        <v>0</v>
      </c>
    </row>
    <row r="3" customFormat="false" ht="15" hidden="false" customHeight="true" outlineLevel="0" collapsed="false">
      <c r="A3" s="21" t="n">
        <f aca="false">IF(B3="","",ROW()-1)</f>
        <v>2</v>
      </c>
      <c r="B3" s="22" t="s">
        <v>32</v>
      </c>
      <c r="C3" s="23" t="str">
        <f aca="false">IF(B3="","","200"&amp;TEXT(ROW()-1,"0000000000"))</f>
        <v>2000000000002</v>
      </c>
      <c r="D3" s="24" t="n">
        <v>5</v>
      </c>
      <c r="E3" s="25" t="n">
        <f aca="false">IF($B3="",0,SUMIF(المبيعات!$D$2:$D$401,$C3,المبيعات!$E$2:$E$401))</f>
        <v>0</v>
      </c>
      <c r="F3" s="25" t="n">
        <f aca="false">IF($B3="",0,SUMIF(المرتجعات!$D$2:$D$301,$C3,المرتجعات!$E$2:$E$301))</f>
        <v>0</v>
      </c>
      <c r="G3" s="21" t="n">
        <f aca="false">D3-E3+F3+J3</f>
        <v>5</v>
      </c>
      <c r="H3" s="26" t="n">
        <v>480</v>
      </c>
      <c r="I3" s="27" t="n">
        <f aca="false">G3*H3</f>
        <v>2400</v>
      </c>
      <c r="J3" s="28" t="n">
        <v>0</v>
      </c>
    </row>
    <row r="4" customFormat="false" ht="15" hidden="false" customHeight="true" outlineLevel="0" collapsed="false">
      <c r="A4" s="21" t="n">
        <f aca="false">IF(B4="","",ROW()-1)</f>
        <v>3</v>
      </c>
      <c r="B4" s="22" t="s">
        <v>33</v>
      </c>
      <c r="C4" s="23" t="str">
        <f aca="false">IF(B4="","","200"&amp;TEXT(ROW()-1,"0000000000"))</f>
        <v>2000000000003</v>
      </c>
      <c r="D4" s="24" t="n">
        <v>3</v>
      </c>
      <c r="E4" s="25" t="n">
        <f aca="false">IF($B4="",0,SUMIF(المبيعات!$D$2:$D$401,$C4,المبيعات!$E$2:$E$401))</f>
        <v>0</v>
      </c>
      <c r="F4" s="25" t="n">
        <f aca="false">IF($B4="",0,SUMIF(المرتجعات!$D$2:$D$301,$C4,المرتجعات!$E$2:$E$301))</f>
        <v>0</v>
      </c>
      <c r="G4" s="21" t="n">
        <f aca="false">D4-E4+F4+J4</f>
        <v>3</v>
      </c>
      <c r="H4" s="26" t="n">
        <v>250</v>
      </c>
      <c r="I4" s="27" t="n">
        <f aca="false">G4*H4</f>
        <v>750</v>
      </c>
      <c r="J4" s="28" t="n">
        <v>0</v>
      </c>
    </row>
    <row r="5" customFormat="false" ht="15" hidden="false" customHeight="true" outlineLevel="0" collapsed="false">
      <c r="A5" s="21" t="n">
        <f aca="false">IF(B5="","",ROW()-1)</f>
        <v>4</v>
      </c>
      <c r="B5" s="22" t="s">
        <v>34</v>
      </c>
      <c r="C5" s="23" t="str">
        <f aca="false">IF(B5="","","200"&amp;TEXT(ROW()-1,"0000000000"))</f>
        <v>2000000000004</v>
      </c>
      <c r="D5" s="24" t="n">
        <v>1</v>
      </c>
      <c r="E5" s="25" t="n">
        <f aca="false">IF($B5="",0,SUMIF(المبيعات!$D$2:$D$401,$C5,المبيعات!$E$2:$E$401))</f>
        <v>0</v>
      </c>
      <c r="F5" s="25" t="n">
        <f aca="false">IF($B5="",0,SUMIF(المرتجعات!$D$2:$D$301,$C5,المرتجعات!$E$2:$E$301))</f>
        <v>0</v>
      </c>
      <c r="G5" s="21" t="n">
        <f aca="false">D5-E5+F5+J5</f>
        <v>1</v>
      </c>
      <c r="H5" s="26" t="n">
        <v>200</v>
      </c>
      <c r="I5" s="27" t="n">
        <f aca="false">G5*H5</f>
        <v>200</v>
      </c>
      <c r="J5" s="28" t="n">
        <v>0</v>
      </c>
    </row>
    <row r="6" customFormat="false" ht="15" hidden="false" customHeight="true" outlineLevel="0" collapsed="false">
      <c r="A6" s="21" t="n">
        <f aca="false">IF(B6="","",ROW()-1)</f>
        <v>5</v>
      </c>
      <c r="B6" s="22" t="s">
        <v>35</v>
      </c>
      <c r="C6" s="23" t="str">
        <f aca="false">IF(B6="","","200"&amp;TEXT(ROW()-1,"0000000000"))</f>
        <v>2000000000005</v>
      </c>
      <c r="D6" s="24" t="n">
        <v>1</v>
      </c>
      <c r="E6" s="25" t="n">
        <f aca="false">IF($B6="",0,SUMIF(المبيعات!$D$2:$D$401,$C6,المبيعات!$E$2:$E$401))</f>
        <v>0</v>
      </c>
      <c r="F6" s="25" t="n">
        <f aca="false">IF($B6="",0,SUMIF(المرتجعات!$D$2:$D$301,$C6,المرتجعات!$E$2:$E$301))</f>
        <v>0</v>
      </c>
      <c r="G6" s="21" t="n">
        <f aca="false">D6-E6+F6+J6</f>
        <v>1</v>
      </c>
      <c r="H6" s="26" t="n">
        <v>250</v>
      </c>
      <c r="I6" s="27" t="n">
        <f aca="false">G6*H6</f>
        <v>250</v>
      </c>
      <c r="J6" s="28" t="n">
        <v>0</v>
      </c>
    </row>
    <row r="7" customFormat="false" ht="15" hidden="false" customHeight="true" outlineLevel="0" collapsed="false">
      <c r="A7" s="21" t="n">
        <f aca="false">IF(B7="","",ROW()-1)</f>
        <v>6</v>
      </c>
      <c r="B7" s="22" t="s">
        <v>36</v>
      </c>
      <c r="C7" s="23" t="str">
        <f aca="false">IF(B7="","","200"&amp;TEXT(ROW()-1,"0000000000"))</f>
        <v>2000000000006</v>
      </c>
      <c r="D7" s="24" t="n">
        <v>1</v>
      </c>
      <c r="E7" s="25" t="n">
        <f aca="false">IF($B7="",0,SUMIF(المبيعات!$D$2:$D$401,$C7,المبيعات!$E$2:$E$401))</f>
        <v>0</v>
      </c>
      <c r="F7" s="25" t="n">
        <f aca="false">IF($B7="",0,SUMIF(المرتجعات!$D$2:$D$301,$C7,المرتجعات!$E$2:$E$301))</f>
        <v>0</v>
      </c>
      <c r="G7" s="21" t="n">
        <f aca="false">D7-E7+F7+J7</f>
        <v>1</v>
      </c>
      <c r="H7" s="26" t="n">
        <v>360</v>
      </c>
      <c r="I7" s="27" t="n">
        <f aca="false">G7*H7</f>
        <v>360</v>
      </c>
      <c r="J7" s="28" t="n">
        <v>0</v>
      </c>
    </row>
    <row r="8" customFormat="false" ht="15" hidden="false" customHeight="true" outlineLevel="0" collapsed="false">
      <c r="A8" s="21" t="n">
        <f aca="false">IF(B8="","",ROW()-1)</f>
        <v>7</v>
      </c>
      <c r="B8" s="22" t="s">
        <v>37</v>
      </c>
      <c r="C8" s="23" t="str">
        <f aca="false">IF(B8="","","200"&amp;TEXT(ROW()-1,"0000000000"))</f>
        <v>2000000000007</v>
      </c>
      <c r="D8" s="24" t="n">
        <v>2</v>
      </c>
      <c r="E8" s="25" t="n">
        <f aca="false">IF($B8="",0,SUMIF(المبيعات!$D$2:$D$401,$C8,المبيعات!$E$2:$E$401))</f>
        <v>0</v>
      </c>
      <c r="F8" s="25" t="n">
        <f aca="false">IF($B8="",0,SUMIF(المرتجعات!$D$2:$D$301,$C8,المرتجعات!$E$2:$E$301))</f>
        <v>0</v>
      </c>
      <c r="G8" s="21" t="n">
        <f aca="false">D8-E8+F8+J8</f>
        <v>2</v>
      </c>
      <c r="H8" s="26" t="n">
        <v>290</v>
      </c>
      <c r="I8" s="27" t="n">
        <f aca="false">G8*H8</f>
        <v>580</v>
      </c>
      <c r="J8" s="28" t="n">
        <v>0</v>
      </c>
    </row>
    <row r="9" customFormat="false" ht="15" hidden="false" customHeight="true" outlineLevel="0" collapsed="false">
      <c r="A9" s="21" t="n">
        <f aca="false">IF(B9="","",ROW()-1)</f>
        <v>8</v>
      </c>
      <c r="B9" s="22" t="s">
        <v>38</v>
      </c>
      <c r="C9" s="23" t="str">
        <f aca="false">IF(B9="","","200"&amp;TEXT(ROW()-1,"0000000000"))</f>
        <v>2000000000008</v>
      </c>
      <c r="D9" s="24" t="n">
        <v>0</v>
      </c>
      <c r="E9" s="25" t="n">
        <f aca="false">IF($B9="",0,SUMIF(المبيعات!$D$2:$D$401,$C9,المبيعات!$E$2:$E$401))</f>
        <v>0</v>
      </c>
      <c r="F9" s="25" t="n">
        <f aca="false">IF($B9="",0,SUMIF(المرتجعات!$D$2:$D$301,$C9,المرتجعات!$E$2:$E$301))</f>
        <v>0</v>
      </c>
      <c r="G9" s="21" t="n">
        <f aca="false">D9-E9+F9+J9</f>
        <v>0</v>
      </c>
      <c r="H9" s="26" t="n">
        <v>350</v>
      </c>
      <c r="I9" s="27" t="n">
        <f aca="false">G9*H9</f>
        <v>0</v>
      </c>
      <c r="J9" s="28" t="n">
        <v>0</v>
      </c>
    </row>
    <row r="10" customFormat="false" ht="15" hidden="false" customHeight="true" outlineLevel="0" collapsed="false">
      <c r="A10" s="21" t="n">
        <f aca="false">IF(B10="","",ROW()-1)</f>
        <v>9</v>
      </c>
      <c r="B10" s="22" t="s">
        <v>39</v>
      </c>
      <c r="C10" s="23" t="str">
        <f aca="false">IF(B10="","","200"&amp;TEXT(ROW()-1,"0000000000"))</f>
        <v>2000000000009</v>
      </c>
      <c r="D10" s="24" t="n">
        <v>14</v>
      </c>
      <c r="E10" s="25" t="n">
        <f aca="false">IF($B10="",0,SUMIF(المبيعات!$D$2:$D$401,$C10,المبيعات!$E$2:$E$401))</f>
        <v>0</v>
      </c>
      <c r="F10" s="25" t="n">
        <f aca="false">IF($B10="",0,SUMIF(المرتجعات!$D$2:$D$301,$C10,المرتجعات!$E$2:$E$301))</f>
        <v>0</v>
      </c>
      <c r="G10" s="21" t="n">
        <f aca="false">D10-E10+F10+J10</f>
        <v>14</v>
      </c>
      <c r="H10" s="26" t="n">
        <v>180</v>
      </c>
      <c r="I10" s="27" t="n">
        <f aca="false">G10*H10</f>
        <v>2520</v>
      </c>
      <c r="J10" s="28" t="n">
        <v>0</v>
      </c>
    </row>
    <row r="11" customFormat="false" ht="15" hidden="false" customHeight="true" outlineLevel="0" collapsed="false">
      <c r="A11" s="21" t="n">
        <f aca="false">IF(B11="","",ROW()-1)</f>
        <v>10</v>
      </c>
      <c r="B11" s="22" t="s">
        <v>40</v>
      </c>
      <c r="C11" s="23" t="str">
        <f aca="false">IF(B11="","","200"&amp;TEXT(ROW()-1,"0000000000"))</f>
        <v>2000000000010</v>
      </c>
      <c r="D11" s="24" t="n">
        <v>7</v>
      </c>
      <c r="E11" s="25" t="n">
        <f aca="false">IF($B11="",0,SUMIF(المبيعات!$D$2:$D$401,$C11,المبيعات!$E$2:$E$401))</f>
        <v>0</v>
      </c>
      <c r="F11" s="25" t="n">
        <f aca="false">IF($B11="",0,SUMIF(المرتجعات!$D$2:$D$301,$C11,المرتجعات!$E$2:$E$301))</f>
        <v>0</v>
      </c>
      <c r="G11" s="21" t="n">
        <f aca="false">D11-E11+F11+J11</f>
        <v>7</v>
      </c>
      <c r="H11" s="26" t="n">
        <v>280</v>
      </c>
      <c r="I11" s="27" t="n">
        <f aca="false">G11*H11</f>
        <v>1960</v>
      </c>
      <c r="J11" s="28" t="n">
        <v>0</v>
      </c>
    </row>
    <row r="12" customFormat="false" ht="15" hidden="false" customHeight="true" outlineLevel="0" collapsed="false">
      <c r="A12" s="21" t="n">
        <f aca="false">IF(B12="","",ROW()-1)</f>
        <v>11</v>
      </c>
      <c r="B12" s="22" t="s">
        <v>41</v>
      </c>
      <c r="C12" s="23" t="str">
        <f aca="false">IF(B12="","","200"&amp;TEXT(ROW()-1,"0000000000"))</f>
        <v>2000000000011</v>
      </c>
      <c r="D12" s="24" t="n">
        <v>2</v>
      </c>
      <c r="E12" s="25" t="n">
        <f aca="false">IF($B12="",0,SUMIF(المبيعات!$D$2:$D$401,$C12,المبيعات!$E$2:$E$401))</f>
        <v>0</v>
      </c>
      <c r="F12" s="25" t="n">
        <f aca="false">IF($B12="",0,SUMIF(المرتجعات!$D$2:$D$301,$C12,المرتجعات!$E$2:$E$301))</f>
        <v>0</v>
      </c>
      <c r="G12" s="21" t="n">
        <f aca="false">D12-E12+F12+J12</f>
        <v>2</v>
      </c>
      <c r="H12" s="26" t="n">
        <v>300</v>
      </c>
      <c r="I12" s="27" t="n">
        <f aca="false">G12*H12</f>
        <v>600</v>
      </c>
      <c r="J12" s="28" t="n">
        <v>0</v>
      </c>
    </row>
    <row r="13" customFormat="false" ht="15" hidden="false" customHeight="true" outlineLevel="0" collapsed="false">
      <c r="A13" s="21" t="n">
        <f aca="false">IF(B13="","",ROW()-1)</f>
        <v>12</v>
      </c>
      <c r="B13" s="22" t="s">
        <v>42</v>
      </c>
      <c r="C13" s="23" t="str">
        <f aca="false">IF(B13="","","200"&amp;TEXT(ROW()-1,"0000000000"))</f>
        <v>2000000000012</v>
      </c>
      <c r="D13" s="24" t="n">
        <v>1</v>
      </c>
      <c r="E13" s="25" t="n">
        <f aca="false">IF($B13="",0,SUMIF(المبيعات!$D$2:$D$401,$C13,المبيعات!$E$2:$E$401))</f>
        <v>0</v>
      </c>
      <c r="F13" s="25" t="n">
        <f aca="false">IF($B13="",0,SUMIF(المرتجعات!$D$2:$D$301,$C13,المرتجعات!$E$2:$E$301))</f>
        <v>0</v>
      </c>
      <c r="G13" s="21" t="n">
        <f aca="false">D13-E13+F13+J13</f>
        <v>1</v>
      </c>
      <c r="H13" s="26" t="n">
        <v>240</v>
      </c>
      <c r="I13" s="27" t="n">
        <f aca="false">G13*H13</f>
        <v>240</v>
      </c>
      <c r="J13" s="28" t="n">
        <v>0</v>
      </c>
    </row>
    <row r="14" customFormat="false" ht="15" hidden="false" customHeight="true" outlineLevel="0" collapsed="false">
      <c r="A14" s="21" t="n">
        <f aca="false">IF(B14="","",ROW()-1)</f>
        <v>13</v>
      </c>
      <c r="B14" s="22" t="s">
        <v>43</v>
      </c>
      <c r="C14" s="23" t="str">
        <f aca="false">IF(B14="","","200"&amp;TEXT(ROW()-1,"0000000000"))</f>
        <v>2000000000013</v>
      </c>
      <c r="D14" s="24" t="n">
        <v>1</v>
      </c>
      <c r="E14" s="25" t="n">
        <f aca="false">IF($B14="",0,SUMIF(المبيعات!$D$2:$D$401,$C14,المبيعات!$E$2:$E$401))</f>
        <v>0</v>
      </c>
      <c r="F14" s="25" t="n">
        <f aca="false">IF($B14="",0,SUMIF(المرتجعات!$D$2:$D$301,$C14,المرتجعات!$E$2:$E$301))</f>
        <v>0</v>
      </c>
      <c r="G14" s="21" t="n">
        <f aca="false">D14-E14+F14+J14</f>
        <v>1</v>
      </c>
      <c r="H14" s="26" t="n">
        <v>410</v>
      </c>
      <c r="I14" s="27" t="n">
        <f aca="false">G14*H14</f>
        <v>410</v>
      </c>
      <c r="J14" s="28" t="n">
        <v>0</v>
      </c>
    </row>
    <row r="15" customFormat="false" ht="15" hidden="false" customHeight="true" outlineLevel="0" collapsed="false">
      <c r="A15" s="21" t="n">
        <f aca="false">IF(B15="","",ROW()-1)</f>
        <v>14</v>
      </c>
      <c r="B15" s="22" t="s">
        <v>44</v>
      </c>
      <c r="C15" s="23" t="str">
        <f aca="false">IF(B15="","","200"&amp;TEXT(ROW()-1,"0000000000"))</f>
        <v>2000000000014</v>
      </c>
      <c r="D15" s="24" t="n">
        <v>0</v>
      </c>
      <c r="E15" s="25" t="n">
        <f aca="false">IF($B15="",0,SUMIF(المبيعات!$D$2:$D$401,$C15,المبيعات!$E$2:$E$401))</f>
        <v>0</v>
      </c>
      <c r="F15" s="25" t="n">
        <f aca="false">IF($B15="",0,SUMIF(المرتجعات!$D$2:$D$301,$C15,المرتجعات!$E$2:$E$301))</f>
        <v>0</v>
      </c>
      <c r="G15" s="21" t="n">
        <f aca="false">D15-E15+F15+J15</f>
        <v>0</v>
      </c>
      <c r="H15" s="26" t="n">
        <v>490</v>
      </c>
      <c r="I15" s="27" t="n">
        <f aca="false">G15*H15</f>
        <v>0</v>
      </c>
      <c r="J15" s="28" t="n">
        <v>0</v>
      </c>
    </row>
    <row r="16" customFormat="false" ht="15" hidden="false" customHeight="true" outlineLevel="0" collapsed="false">
      <c r="A16" s="21" t="n">
        <f aca="false">IF(B16="","",ROW()-1)</f>
        <v>15</v>
      </c>
      <c r="B16" s="22" t="s">
        <v>45</v>
      </c>
      <c r="C16" s="23" t="str">
        <f aca="false">IF(B16="","","200"&amp;TEXT(ROW()-1,"0000000000"))</f>
        <v>2000000000015</v>
      </c>
      <c r="D16" s="24" t="n">
        <v>2</v>
      </c>
      <c r="E16" s="25" t="n">
        <f aca="false">IF($B16="",0,SUMIF(المبيعات!$D$2:$D$401,$C16,المبيعات!$E$2:$E$401))</f>
        <v>0</v>
      </c>
      <c r="F16" s="25" t="n">
        <f aca="false">IF($B16="",0,SUMIF(المرتجعات!$D$2:$D$301,$C16,المرتجعات!$E$2:$E$301))</f>
        <v>0</v>
      </c>
      <c r="G16" s="21" t="n">
        <f aca="false">D16-E16+F16+J16</f>
        <v>2</v>
      </c>
      <c r="H16" s="26" t="n">
        <v>460</v>
      </c>
      <c r="I16" s="27" t="n">
        <f aca="false">G16*H16</f>
        <v>920</v>
      </c>
      <c r="J16" s="28" t="n">
        <v>0</v>
      </c>
    </row>
    <row r="17" customFormat="false" ht="15" hidden="false" customHeight="true" outlineLevel="0" collapsed="false">
      <c r="A17" s="21" t="n">
        <f aca="false">IF(B17="","",ROW()-1)</f>
        <v>16</v>
      </c>
      <c r="B17" s="22" t="s">
        <v>46</v>
      </c>
      <c r="C17" s="23" t="str">
        <f aca="false">IF(B17="","","200"&amp;TEXT(ROW()-1,"0000000000"))</f>
        <v>2000000000016</v>
      </c>
      <c r="D17" s="24" t="n">
        <v>2</v>
      </c>
      <c r="E17" s="25" t="n">
        <f aca="false">IF($B17="",0,SUMIF(المبيعات!$D$2:$D$401,$C17,المبيعات!$E$2:$E$401))</f>
        <v>0</v>
      </c>
      <c r="F17" s="25" t="n">
        <f aca="false">IF($B17="",0,SUMIF(المرتجعات!$D$2:$D$301,$C17,المرتجعات!$E$2:$E$301))</f>
        <v>0</v>
      </c>
      <c r="G17" s="21" t="n">
        <f aca="false">D17-E17+F17+J17</f>
        <v>2</v>
      </c>
      <c r="H17" s="26" t="n">
        <v>360</v>
      </c>
      <c r="I17" s="27" t="n">
        <f aca="false">G17*H17</f>
        <v>720</v>
      </c>
      <c r="J17" s="28" t="n">
        <v>0</v>
      </c>
    </row>
    <row r="18" customFormat="false" ht="15" hidden="false" customHeight="true" outlineLevel="0" collapsed="false">
      <c r="A18" s="21" t="n">
        <f aca="false">IF(B18="","",ROW()-1)</f>
        <v>17</v>
      </c>
      <c r="B18" s="22" t="s">
        <v>47</v>
      </c>
      <c r="C18" s="23" t="str">
        <f aca="false">IF(B18="","","200"&amp;TEXT(ROW()-1,"0000000000"))</f>
        <v>2000000000017</v>
      </c>
      <c r="D18" s="24" t="n">
        <v>4</v>
      </c>
      <c r="E18" s="25" t="n">
        <f aca="false">IF($B18="",0,SUMIF(المبيعات!$D$2:$D$401,$C18,المبيعات!$E$2:$E$401))</f>
        <v>0</v>
      </c>
      <c r="F18" s="25" t="n">
        <f aca="false">IF($B18="",0,SUMIF(المرتجعات!$D$2:$D$301,$C18,المرتجعات!$E$2:$E$301))</f>
        <v>0</v>
      </c>
      <c r="G18" s="21" t="n">
        <f aca="false">D18-E18+F18+J18</f>
        <v>4</v>
      </c>
      <c r="H18" s="26" t="n">
        <v>295</v>
      </c>
      <c r="I18" s="27" t="n">
        <f aca="false">G18*H18</f>
        <v>1180</v>
      </c>
      <c r="J18" s="28" t="n">
        <v>0</v>
      </c>
    </row>
    <row r="19" customFormat="false" ht="15" hidden="false" customHeight="true" outlineLevel="0" collapsed="false">
      <c r="A19" s="21" t="n">
        <f aca="false">IF(B19="","",ROW()-1)</f>
        <v>18</v>
      </c>
      <c r="B19" s="22" t="s">
        <v>48</v>
      </c>
      <c r="C19" s="23" t="str">
        <f aca="false">IF(B19="","","200"&amp;TEXT(ROW()-1,"0000000000"))</f>
        <v>2000000000018</v>
      </c>
      <c r="D19" s="24" t="n">
        <v>1</v>
      </c>
      <c r="E19" s="25" t="n">
        <f aca="false">IF($B19="",0,SUMIF(المبيعات!$D$2:$D$401,$C19,المبيعات!$E$2:$E$401))</f>
        <v>0</v>
      </c>
      <c r="F19" s="25" t="n">
        <f aca="false">IF($B19="",0,SUMIF(المرتجعات!$D$2:$D$301,$C19,المرتجعات!$E$2:$E$301))</f>
        <v>0</v>
      </c>
      <c r="G19" s="21" t="n">
        <f aca="false">D19-E19+F19+J19</f>
        <v>1</v>
      </c>
      <c r="H19" s="26" t="n">
        <v>320</v>
      </c>
      <c r="I19" s="27" t="n">
        <f aca="false">G19*H19</f>
        <v>320</v>
      </c>
      <c r="J19" s="28" t="n">
        <v>0</v>
      </c>
    </row>
    <row r="20" customFormat="false" ht="15" hidden="false" customHeight="true" outlineLevel="0" collapsed="false">
      <c r="A20" s="21" t="n">
        <f aca="false">IF(B20="","",ROW()-1)</f>
        <v>19</v>
      </c>
      <c r="B20" s="22" t="s">
        <v>49</v>
      </c>
      <c r="C20" s="23" t="str">
        <f aca="false">IF(B20="","","200"&amp;TEXT(ROW()-1,"0000000000"))</f>
        <v>2000000000019</v>
      </c>
      <c r="D20" s="24" t="n">
        <v>2</v>
      </c>
      <c r="E20" s="25" t="n">
        <f aca="false">IF($B20="",0,SUMIF(المبيعات!$D$2:$D$401,$C20,المبيعات!$E$2:$E$401))</f>
        <v>0</v>
      </c>
      <c r="F20" s="25" t="n">
        <f aca="false">IF($B20="",0,SUMIF(المرتجعات!$D$2:$D$301,$C20,المرتجعات!$E$2:$E$301))</f>
        <v>0</v>
      </c>
      <c r="G20" s="21" t="n">
        <f aca="false">D20-E20+F20+J20</f>
        <v>2</v>
      </c>
      <c r="H20" s="26" t="n">
        <v>490</v>
      </c>
      <c r="I20" s="27" t="n">
        <f aca="false">G20*H20</f>
        <v>980</v>
      </c>
      <c r="J20" s="28" t="n">
        <v>0</v>
      </c>
    </row>
    <row r="21" customFormat="false" ht="15" hidden="false" customHeight="true" outlineLevel="0" collapsed="false">
      <c r="A21" s="21" t="n">
        <f aca="false">IF(B21="","",ROW()-1)</f>
        <v>20</v>
      </c>
      <c r="B21" s="22" t="s">
        <v>50</v>
      </c>
      <c r="C21" s="23" t="str">
        <f aca="false">IF(B21="","","200"&amp;TEXT(ROW()-1,"0000000000"))</f>
        <v>2000000000020</v>
      </c>
      <c r="D21" s="24" t="n">
        <v>1</v>
      </c>
      <c r="E21" s="25" t="n">
        <f aca="false">IF($B21="",0,SUMIF(المبيعات!$D$2:$D$401,$C21,المبيعات!$E$2:$E$401))</f>
        <v>0</v>
      </c>
      <c r="F21" s="25" t="n">
        <f aca="false">IF($B21="",0,SUMIF(المرتجعات!$D$2:$D$301,$C21,المرتجعات!$E$2:$E$301))</f>
        <v>0</v>
      </c>
      <c r="G21" s="21" t="n">
        <f aca="false">D21-E21+F21+J21</f>
        <v>1</v>
      </c>
      <c r="H21" s="26" t="n">
        <v>410</v>
      </c>
      <c r="I21" s="27" t="n">
        <f aca="false">G21*H21</f>
        <v>410</v>
      </c>
      <c r="J21" s="28" t="n">
        <v>0</v>
      </c>
    </row>
    <row r="22" customFormat="false" ht="15" hidden="false" customHeight="true" outlineLevel="0" collapsed="false">
      <c r="A22" s="21" t="n">
        <f aca="false">IF(B22="","",ROW()-1)</f>
        <v>21</v>
      </c>
      <c r="B22" s="22" t="s">
        <v>51</v>
      </c>
      <c r="C22" s="23" t="str">
        <f aca="false">IF(B22="","","200"&amp;TEXT(ROW()-1,"0000000000"))</f>
        <v>2000000000021</v>
      </c>
      <c r="D22" s="24" t="n">
        <v>1</v>
      </c>
      <c r="E22" s="25" t="n">
        <f aca="false">IF($B22="",0,SUMIF(المبيعات!$D$2:$D$401,$C22,المبيعات!$E$2:$E$401))</f>
        <v>0</v>
      </c>
      <c r="F22" s="25" t="n">
        <f aca="false">IF($B22="",0,SUMIF(المرتجعات!$D$2:$D$301,$C22,المرتجعات!$E$2:$E$301))</f>
        <v>0</v>
      </c>
      <c r="G22" s="21" t="n">
        <f aca="false">D22-E22+F22+J22</f>
        <v>1</v>
      </c>
      <c r="H22" s="26" t="n">
        <v>380</v>
      </c>
      <c r="I22" s="27" t="n">
        <f aca="false">G22*H22</f>
        <v>380</v>
      </c>
      <c r="J22" s="28" t="n">
        <v>0</v>
      </c>
    </row>
    <row r="23" customFormat="false" ht="15" hidden="false" customHeight="true" outlineLevel="0" collapsed="false">
      <c r="A23" s="21" t="n">
        <f aca="false">IF(B23="","",ROW()-1)</f>
        <v>22</v>
      </c>
      <c r="B23" s="22" t="s">
        <v>52</v>
      </c>
      <c r="C23" s="23" t="str">
        <f aca="false">IF(B23="","","200"&amp;TEXT(ROW()-1,"0000000000"))</f>
        <v>2000000000022</v>
      </c>
      <c r="D23" s="24" t="n">
        <v>7</v>
      </c>
      <c r="E23" s="25" t="n">
        <f aca="false">IF($B23="",0,SUMIF(المبيعات!$D$2:$D$401,$C23,المبيعات!$E$2:$E$401))</f>
        <v>0</v>
      </c>
      <c r="F23" s="25" t="n">
        <f aca="false">IF($B23="",0,SUMIF(المرتجعات!$D$2:$D$301,$C23,المرتجعات!$E$2:$E$301))</f>
        <v>0</v>
      </c>
      <c r="G23" s="21" t="n">
        <f aca="false">D23-E23+F23+J23</f>
        <v>7</v>
      </c>
      <c r="H23" s="26" t="n">
        <v>490</v>
      </c>
      <c r="I23" s="27" t="n">
        <f aca="false">G23*H23</f>
        <v>3430</v>
      </c>
      <c r="J23" s="28" t="n">
        <v>0</v>
      </c>
    </row>
    <row r="24" customFormat="false" ht="15" hidden="false" customHeight="true" outlineLevel="0" collapsed="false">
      <c r="A24" s="21" t="n">
        <f aca="false">IF(B24="","",ROW()-1)</f>
        <v>23</v>
      </c>
      <c r="B24" s="22" t="s">
        <v>53</v>
      </c>
      <c r="C24" s="23" t="str">
        <f aca="false">IF(B24="","","200"&amp;TEXT(ROW()-1,"0000000000"))</f>
        <v>2000000000023</v>
      </c>
      <c r="D24" s="24" t="n">
        <v>19</v>
      </c>
      <c r="E24" s="25" t="n">
        <f aca="false">IF($B24="",0,SUMIF(المبيعات!$D$2:$D$401,$C24,المبيعات!$E$2:$E$401))</f>
        <v>0</v>
      </c>
      <c r="F24" s="25" t="n">
        <f aca="false">IF($B24="",0,SUMIF(المرتجعات!$D$2:$D$301,$C24,المرتجعات!$E$2:$E$301))</f>
        <v>0</v>
      </c>
      <c r="G24" s="21" t="n">
        <f aca="false">D24-E24+F24+J24</f>
        <v>19</v>
      </c>
      <c r="H24" s="26" t="n">
        <v>250</v>
      </c>
      <c r="I24" s="27" t="n">
        <f aca="false">G24*H24</f>
        <v>4750</v>
      </c>
      <c r="J24" s="28" t="n">
        <v>0</v>
      </c>
    </row>
    <row r="25" customFormat="false" ht="15" hidden="false" customHeight="true" outlineLevel="0" collapsed="false">
      <c r="A25" s="21" t="n">
        <f aca="false">IF(B25="","",ROW()-1)</f>
        <v>24</v>
      </c>
      <c r="B25" s="22" t="s">
        <v>54</v>
      </c>
      <c r="C25" s="23" t="str">
        <f aca="false">IF(B25="","","200"&amp;TEXT(ROW()-1,"0000000000"))</f>
        <v>2000000000024</v>
      </c>
      <c r="D25" s="24" t="n">
        <v>3</v>
      </c>
      <c r="E25" s="25" t="n">
        <f aca="false">IF($B25="",0,SUMIF(المبيعات!$D$2:$D$401,$C25,المبيعات!$E$2:$E$401))</f>
        <v>0</v>
      </c>
      <c r="F25" s="25" t="n">
        <f aca="false">IF($B25="",0,SUMIF(المرتجعات!$D$2:$D$301,$C25,المرتجعات!$E$2:$E$301))</f>
        <v>0</v>
      </c>
      <c r="G25" s="21" t="n">
        <f aca="false">D25-E25+F25+J25</f>
        <v>3</v>
      </c>
      <c r="H25" s="26" t="n">
        <v>510</v>
      </c>
      <c r="I25" s="27" t="n">
        <f aca="false">G25*H25</f>
        <v>1530</v>
      </c>
      <c r="J25" s="28" t="n">
        <v>0</v>
      </c>
    </row>
    <row r="26" customFormat="false" ht="15" hidden="false" customHeight="true" outlineLevel="0" collapsed="false">
      <c r="A26" s="21" t="n">
        <f aca="false">IF(B26="","",ROW()-1)</f>
        <v>25</v>
      </c>
      <c r="B26" s="22" t="s">
        <v>55</v>
      </c>
      <c r="C26" s="23" t="str">
        <f aca="false">IF(B26="","","200"&amp;TEXT(ROW()-1,"0000000000"))</f>
        <v>2000000000025</v>
      </c>
      <c r="D26" s="24" t="n">
        <v>6</v>
      </c>
      <c r="E26" s="25" t="n">
        <f aca="false">IF($B26="",0,SUMIF(المبيعات!$D$2:$D$401,$C26,المبيعات!$E$2:$E$401))</f>
        <v>0</v>
      </c>
      <c r="F26" s="25" t="n">
        <f aca="false">IF($B26="",0,SUMIF(المرتجعات!$D$2:$D$301,$C26,المرتجعات!$E$2:$E$301))</f>
        <v>0</v>
      </c>
      <c r="G26" s="21" t="n">
        <f aca="false">D26-E26+F26+J26</f>
        <v>6</v>
      </c>
      <c r="H26" s="26" t="n">
        <v>390</v>
      </c>
      <c r="I26" s="27" t="n">
        <f aca="false">G26*H26</f>
        <v>2340</v>
      </c>
      <c r="J26" s="28" t="n">
        <v>0</v>
      </c>
    </row>
    <row r="27" customFormat="false" ht="15" hidden="false" customHeight="true" outlineLevel="0" collapsed="false">
      <c r="A27" s="21" t="n">
        <f aca="false">IF(B27="","",ROW()-1)</f>
        <v>26</v>
      </c>
      <c r="B27" s="22" t="s">
        <v>56</v>
      </c>
      <c r="C27" s="23" t="str">
        <f aca="false">IF(B27="","","200"&amp;TEXT(ROW()-1,"0000000000"))</f>
        <v>2000000000026</v>
      </c>
      <c r="D27" s="24" t="n">
        <v>3</v>
      </c>
      <c r="E27" s="25" t="n">
        <f aca="false">IF($B27="",0,SUMIF(المبيعات!$D$2:$D$401,$C27,المبيعات!$E$2:$E$401))</f>
        <v>0</v>
      </c>
      <c r="F27" s="25" t="n">
        <f aca="false">IF($B27="",0,SUMIF(المرتجعات!$D$2:$D$301,$C27,المرتجعات!$E$2:$E$301))</f>
        <v>0</v>
      </c>
      <c r="G27" s="21" t="n">
        <f aca="false">D27-E27+F27+J27</f>
        <v>3</v>
      </c>
      <c r="H27" s="26" t="n">
        <v>270</v>
      </c>
      <c r="I27" s="27" t="n">
        <f aca="false">G27*H27</f>
        <v>810</v>
      </c>
      <c r="J27" s="28" t="n">
        <v>0</v>
      </c>
    </row>
    <row r="28" customFormat="false" ht="15" hidden="false" customHeight="true" outlineLevel="0" collapsed="false">
      <c r="A28" s="21" t="n">
        <f aca="false">IF(B28="","",ROW()-1)</f>
        <v>27</v>
      </c>
      <c r="B28" s="22" t="s">
        <v>57</v>
      </c>
      <c r="C28" s="23" t="str">
        <f aca="false">IF(B28="","","200"&amp;TEXT(ROW()-1,"0000000000"))</f>
        <v>2000000000027</v>
      </c>
      <c r="D28" s="24" t="n">
        <v>5</v>
      </c>
      <c r="E28" s="25" t="n">
        <f aca="false">IF($B28="",0,SUMIF(المبيعات!$D$2:$D$401,$C28,المبيعات!$E$2:$E$401))</f>
        <v>0</v>
      </c>
      <c r="F28" s="25" t="n">
        <f aca="false">IF($B28="",0,SUMIF(المرتجعات!$D$2:$D$301,$C28,المرتجعات!$E$2:$E$301))</f>
        <v>0</v>
      </c>
      <c r="G28" s="21" t="n">
        <f aca="false">D28-E28+F28+J28</f>
        <v>5</v>
      </c>
      <c r="H28" s="26" t="n">
        <v>290</v>
      </c>
      <c r="I28" s="27" t="n">
        <f aca="false">G28*H28</f>
        <v>1450</v>
      </c>
      <c r="J28" s="28" t="n">
        <v>0</v>
      </c>
    </row>
    <row r="29" customFormat="false" ht="15" hidden="false" customHeight="true" outlineLevel="0" collapsed="false">
      <c r="A29" s="21" t="n">
        <f aca="false">IF(B29="","",ROW()-1)</f>
        <v>28</v>
      </c>
      <c r="B29" s="22" t="s">
        <v>58</v>
      </c>
      <c r="C29" s="23" t="str">
        <f aca="false">IF(B29="","","200"&amp;TEXT(ROW()-1,"0000000000"))</f>
        <v>2000000000028</v>
      </c>
      <c r="D29" s="24" t="n">
        <v>0</v>
      </c>
      <c r="E29" s="25" t="n">
        <f aca="false">IF($B29="",0,SUMIF(المبيعات!$D$2:$D$401,$C29,المبيعات!$E$2:$E$401))</f>
        <v>0</v>
      </c>
      <c r="F29" s="25" t="n">
        <f aca="false">IF($B29="",0,SUMIF(المرتجعات!$D$2:$D$301,$C29,المرتجعات!$E$2:$E$301))</f>
        <v>0</v>
      </c>
      <c r="G29" s="21" t="n">
        <f aca="false">D29-E29+F29+J29</f>
        <v>0</v>
      </c>
      <c r="H29" s="26" t="n">
        <v>295</v>
      </c>
      <c r="I29" s="27" t="n">
        <f aca="false">G29*H29</f>
        <v>0</v>
      </c>
      <c r="J29" s="28" t="n">
        <v>0</v>
      </c>
    </row>
    <row r="30" customFormat="false" ht="15" hidden="false" customHeight="true" outlineLevel="0" collapsed="false">
      <c r="A30" s="21" t="n">
        <f aca="false">IF(B30="","",ROW()-1)</f>
        <v>29</v>
      </c>
      <c r="B30" s="22" t="s">
        <v>59</v>
      </c>
      <c r="C30" s="23" t="str">
        <f aca="false">IF(B30="","","200"&amp;TEXT(ROW()-1,"0000000000"))</f>
        <v>2000000000029</v>
      </c>
      <c r="D30" s="24" t="n">
        <v>2</v>
      </c>
      <c r="E30" s="25" t="n">
        <f aca="false">IF($B30="",0,SUMIF(المبيعات!$D$2:$D$401,$C30,المبيعات!$E$2:$E$401))</f>
        <v>0</v>
      </c>
      <c r="F30" s="25" t="n">
        <f aca="false">IF($B30="",0,SUMIF(المرتجعات!$D$2:$D$301,$C30,المرتجعات!$E$2:$E$301))</f>
        <v>0</v>
      </c>
      <c r="G30" s="21" t="n">
        <f aca="false">D30-E30+F30+J30</f>
        <v>2</v>
      </c>
      <c r="H30" s="26" t="n">
        <v>450</v>
      </c>
      <c r="I30" s="27" t="n">
        <f aca="false">G30*H30</f>
        <v>900</v>
      </c>
      <c r="J30" s="28" t="n">
        <v>0</v>
      </c>
    </row>
    <row r="31" customFormat="false" ht="15" hidden="false" customHeight="true" outlineLevel="0" collapsed="false">
      <c r="A31" s="21" t="n">
        <f aca="false">IF(B31="","",ROW()-1)</f>
        <v>30</v>
      </c>
      <c r="B31" s="22" t="s">
        <v>60</v>
      </c>
      <c r="C31" s="23" t="str">
        <f aca="false">IF(B31="","","200"&amp;TEXT(ROW()-1,"0000000000"))</f>
        <v>2000000000030</v>
      </c>
      <c r="D31" s="24" t="n">
        <v>1</v>
      </c>
      <c r="E31" s="25" t="n">
        <f aca="false">IF($B31="",0,SUMIF(المبيعات!$D$2:$D$401,$C31,المبيعات!$E$2:$E$401))</f>
        <v>0</v>
      </c>
      <c r="F31" s="25" t="n">
        <f aca="false">IF($B31="",0,SUMIF(المرتجعات!$D$2:$D$301,$C31,المرتجعات!$E$2:$E$301))</f>
        <v>0</v>
      </c>
      <c r="G31" s="21" t="n">
        <f aca="false">D31-E31+F31+J31</f>
        <v>1</v>
      </c>
      <c r="H31" s="26" t="n">
        <v>370</v>
      </c>
      <c r="I31" s="27" t="n">
        <f aca="false">G31*H31</f>
        <v>370</v>
      </c>
      <c r="J31" s="28" t="n">
        <v>0</v>
      </c>
    </row>
    <row r="32" customFormat="false" ht="15" hidden="false" customHeight="true" outlineLevel="0" collapsed="false">
      <c r="A32" s="21" t="n">
        <f aca="false">IF(B32="","",ROW()-1)</f>
        <v>31</v>
      </c>
      <c r="B32" s="22" t="s">
        <v>61</v>
      </c>
      <c r="C32" s="23" t="str">
        <f aca="false">IF(B32="","","200"&amp;TEXT(ROW()-1,"0000000000"))</f>
        <v>2000000000031</v>
      </c>
      <c r="D32" s="24" t="n">
        <v>1</v>
      </c>
      <c r="E32" s="25" t="n">
        <f aca="false">IF($B32="",0,SUMIF(المبيعات!$D$2:$D$401,$C32,المبيعات!$E$2:$E$401))</f>
        <v>0</v>
      </c>
      <c r="F32" s="25" t="n">
        <f aca="false">IF($B32="",0,SUMIF(المرتجعات!$D$2:$D$301,$C32,المرتجعات!$E$2:$E$301))</f>
        <v>0</v>
      </c>
      <c r="G32" s="21" t="n">
        <f aca="false">D32-E32+F32+J32</f>
        <v>1</v>
      </c>
      <c r="H32" s="26" t="n">
        <v>410</v>
      </c>
      <c r="I32" s="27" t="n">
        <f aca="false">G32*H32</f>
        <v>410</v>
      </c>
      <c r="J32" s="28" t="n">
        <v>0</v>
      </c>
    </row>
    <row r="33" customFormat="false" ht="15" hidden="false" customHeight="true" outlineLevel="0" collapsed="false">
      <c r="A33" s="21" t="n">
        <f aca="false">IF(B33="","",ROW()-1)</f>
        <v>32</v>
      </c>
      <c r="B33" s="22" t="s">
        <v>62</v>
      </c>
      <c r="C33" s="23" t="str">
        <f aca="false">IF(B33="","","200"&amp;TEXT(ROW()-1,"0000000000"))</f>
        <v>2000000000032</v>
      </c>
      <c r="D33" s="24" t="n">
        <v>1</v>
      </c>
      <c r="E33" s="25" t="n">
        <f aca="false">IF($B33="",0,SUMIF(المبيعات!$D$2:$D$401,$C33,المبيعات!$E$2:$E$401))</f>
        <v>0</v>
      </c>
      <c r="F33" s="25" t="n">
        <f aca="false">IF($B33="",0,SUMIF(المرتجعات!$D$2:$D$301,$C33,المرتجعات!$E$2:$E$301))</f>
        <v>0</v>
      </c>
      <c r="G33" s="21" t="n">
        <f aca="false">D33-E33+F33+J33</f>
        <v>1</v>
      </c>
      <c r="H33" s="26" t="n">
        <v>370</v>
      </c>
      <c r="I33" s="27" t="n">
        <f aca="false">G33*H33</f>
        <v>370</v>
      </c>
      <c r="J33" s="28" t="n">
        <v>0</v>
      </c>
    </row>
    <row r="34" customFormat="false" ht="15" hidden="false" customHeight="true" outlineLevel="0" collapsed="false">
      <c r="A34" s="21" t="n">
        <f aca="false">IF(B34="","",ROW()-1)</f>
        <v>33</v>
      </c>
      <c r="B34" s="22" t="s">
        <v>63</v>
      </c>
      <c r="C34" s="23" t="str">
        <f aca="false">IF(B34="","","200"&amp;TEXT(ROW()-1,"0000000000"))</f>
        <v>2000000000033</v>
      </c>
      <c r="D34" s="24" t="n">
        <v>4</v>
      </c>
      <c r="E34" s="25" t="n">
        <f aca="false">IF($B34="",0,SUMIF(المبيعات!$D$2:$D$401,$C34,المبيعات!$E$2:$E$401))</f>
        <v>0</v>
      </c>
      <c r="F34" s="25" t="n">
        <f aca="false">IF($B34="",0,SUMIF(المرتجعات!$D$2:$D$301,$C34,المرتجعات!$E$2:$E$301))</f>
        <v>0</v>
      </c>
      <c r="G34" s="21" t="n">
        <f aca="false">D34-E34+F34+J34</f>
        <v>4</v>
      </c>
      <c r="H34" s="26" t="n">
        <v>170</v>
      </c>
      <c r="I34" s="27" t="n">
        <f aca="false">G34*H34</f>
        <v>680</v>
      </c>
      <c r="J34" s="28" t="n">
        <v>0</v>
      </c>
    </row>
    <row r="35" customFormat="false" ht="15" hidden="false" customHeight="true" outlineLevel="0" collapsed="false">
      <c r="A35" s="21" t="n">
        <f aca="false">IF(B35="","",ROW()-1)</f>
        <v>34</v>
      </c>
      <c r="B35" s="22" t="s">
        <v>64</v>
      </c>
      <c r="C35" s="23" t="str">
        <f aca="false">IF(B35="","","200"&amp;TEXT(ROW()-1,"0000000000"))</f>
        <v>2000000000034</v>
      </c>
      <c r="D35" s="24" t="n">
        <v>7</v>
      </c>
      <c r="E35" s="25" t="n">
        <f aca="false">IF($B35="",0,SUMIF(المبيعات!$D$2:$D$401,$C35,المبيعات!$E$2:$E$401))</f>
        <v>0</v>
      </c>
      <c r="F35" s="25" t="n">
        <f aca="false">IF($B35="",0,SUMIF(المرتجعات!$D$2:$D$301,$C35,المرتجعات!$E$2:$E$301))</f>
        <v>0</v>
      </c>
      <c r="G35" s="21" t="n">
        <f aca="false">D35-E35+F35+J35</f>
        <v>7</v>
      </c>
      <c r="H35" s="26" t="n">
        <v>300</v>
      </c>
      <c r="I35" s="27" t="n">
        <f aca="false">G35*H35</f>
        <v>2100</v>
      </c>
      <c r="J35" s="28" t="n">
        <v>0</v>
      </c>
    </row>
    <row r="36" customFormat="false" ht="15" hidden="false" customHeight="true" outlineLevel="0" collapsed="false">
      <c r="A36" s="21" t="n">
        <f aca="false">IF(B36="","",ROW()-1)</f>
        <v>35</v>
      </c>
      <c r="B36" s="22" t="s">
        <v>65</v>
      </c>
      <c r="C36" s="23" t="str">
        <f aca="false">IF(B36="","","200"&amp;TEXT(ROW()-1,"0000000000"))</f>
        <v>2000000000035</v>
      </c>
      <c r="D36" s="24" t="n">
        <v>7</v>
      </c>
      <c r="E36" s="25" t="n">
        <f aca="false">IF($B36="",0,SUMIF(المبيعات!$D$2:$D$401,$C36,المبيعات!$E$2:$E$401))</f>
        <v>0</v>
      </c>
      <c r="F36" s="25" t="n">
        <f aca="false">IF($B36="",0,SUMIF(المرتجعات!$D$2:$D$301,$C36,المرتجعات!$E$2:$E$301))</f>
        <v>0</v>
      </c>
      <c r="G36" s="21" t="n">
        <f aca="false">D36-E36+F36+J36</f>
        <v>7</v>
      </c>
      <c r="H36" s="26" t="n">
        <v>210</v>
      </c>
      <c r="I36" s="27" t="n">
        <f aca="false">G36*H36</f>
        <v>1470</v>
      </c>
      <c r="J36" s="28" t="n">
        <v>0</v>
      </c>
    </row>
    <row r="37" customFormat="false" ht="15" hidden="false" customHeight="true" outlineLevel="0" collapsed="false">
      <c r="A37" s="21" t="n">
        <f aca="false">IF(B37="","",ROW()-1)</f>
        <v>36</v>
      </c>
      <c r="B37" s="22" t="s">
        <v>66</v>
      </c>
      <c r="C37" s="23" t="str">
        <f aca="false">IF(B37="","","200"&amp;TEXT(ROW()-1,"0000000000"))</f>
        <v>2000000000036</v>
      </c>
      <c r="D37" s="24" t="n">
        <v>2</v>
      </c>
      <c r="E37" s="25" t="n">
        <f aca="false">IF($B37="",0,SUMIF(المبيعات!$D$2:$D$401,$C37,المبيعات!$E$2:$E$401))</f>
        <v>0</v>
      </c>
      <c r="F37" s="25" t="n">
        <f aca="false">IF($B37="",0,SUMIF(المرتجعات!$D$2:$D$301,$C37,المرتجعات!$E$2:$E$301))</f>
        <v>0</v>
      </c>
      <c r="G37" s="21" t="n">
        <f aca="false">D37-E37+F37+J37</f>
        <v>2</v>
      </c>
      <c r="H37" s="26" t="n">
        <v>550</v>
      </c>
      <c r="I37" s="27" t="n">
        <f aca="false">G37*H37</f>
        <v>1100</v>
      </c>
      <c r="J37" s="28" t="n">
        <v>0</v>
      </c>
    </row>
    <row r="38" customFormat="false" ht="15" hidden="false" customHeight="true" outlineLevel="0" collapsed="false">
      <c r="A38" s="21" t="n">
        <f aca="false">IF(B38="","",ROW()-1)</f>
        <v>37</v>
      </c>
      <c r="B38" s="22" t="s">
        <v>67</v>
      </c>
      <c r="C38" s="23" t="str">
        <f aca="false">IF(B38="","","200"&amp;TEXT(ROW()-1,"0000000000"))</f>
        <v>2000000000037</v>
      </c>
      <c r="D38" s="24" t="n">
        <v>0</v>
      </c>
      <c r="E38" s="25" t="n">
        <f aca="false">IF($B38="",0,SUMIF(المبيعات!$D$2:$D$401,$C38,المبيعات!$E$2:$E$401))</f>
        <v>0</v>
      </c>
      <c r="F38" s="25" t="n">
        <f aca="false">IF($B38="",0,SUMIF(المرتجعات!$D$2:$D$301,$C38,المرتجعات!$E$2:$E$301))</f>
        <v>0</v>
      </c>
      <c r="G38" s="21" t="n">
        <f aca="false">D38-E38+F38+J38</f>
        <v>0</v>
      </c>
      <c r="H38" s="26" t="n">
        <v>480</v>
      </c>
      <c r="I38" s="27" t="n">
        <f aca="false">G38*H38</f>
        <v>0</v>
      </c>
      <c r="J38" s="28" t="n">
        <v>0</v>
      </c>
    </row>
    <row r="39" customFormat="false" ht="15" hidden="false" customHeight="true" outlineLevel="0" collapsed="false">
      <c r="A39" s="21" t="n">
        <f aca="false">IF(B39="","",ROW()-1)</f>
        <v>38</v>
      </c>
      <c r="B39" s="22" t="s">
        <v>68</v>
      </c>
      <c r="C39" s="23" t="str">
        <f aca="false">IF(B39="","","200"&amp;TEXT(ROW()-1,"0000000000"))</f>
        <v>2000000000038</v>
      </c>
      <c r="D39" s="24" t="n">
        <v>3</v>
      </c>
      <c r="E39" s="25" t="n">
        <f aca="false">IF($B39="",0,SUMIF(المبيعات!$D$2:$D$401,$C39,المبيعات!$E$2:$E$401))</f>
        <v>0</v>
      </c>
      <c r="F39" s="25" t="n">
        <f aca="false">IF($B39="",0,SUMIF(المرتجعات!$D$2:$D$301,$C39,المرتجعات!$E$2:$E$301))</f>
        <v>0</v>
      </c>
      <c r="G39" s="21" t="n">
        <f aca="false">D39-E39+F39+J39</f>
        <v>3</v>
      </c>
      <c r="H39" s="26" t="n">
        <v>550</v>
      </c>
      <c r="I39" s="27" t="n">
        <f aca="false">G39*H39</f>
        <v>1650</v>
      </c>
      <c r="J39" s="28" t="n">
        <v>0</v>
      </c>
    </row>
    <row r="40" customFormat="false" ht="15" hidden="false" customHeight="true" outlineLevel="0" collapsed="false">
      <c r="A40" s="21" t="n">
        <f aca="false">IF(B40="","",ROW()-1)</f>
        <v>39</v>
      </c>
      <c r="B40" s="22" t="s">
        <v>69</v>
      </c>
      <c r="C40" s="23" t="str">
        <f aca="false">IF(B40="","","200"&amp;TEXT(ROW()-1,"0000000000"))</f>
        <v>2000000000039</v>
      </c>
      <c r="D40" s="24" t="n">
        <v>2</v>
      </c>
      <c r="E40" s="25" t="n">
        <f aca="false">IF($B40="",0,SUMIF(المبيعات!$D$2:$D$401,$C40,المبيعات!$E$2:$E$401))</f>
        <v>0</v>
      </c>
      <c r="F40" s="25" t="n">
        <f aca="false">IF($B40="",0,SUMIF(المرتجعات!$D$2:$D$301,$C40,المرتجعات!$E$2:$E$301))</f>
        <v>0</v>
      </c>
      <c r="G40" s="21" t="n">
        <f aca="false">D40-E40+F40+J40</f>
        <v>2</v>
      </c>
      <c r="H40" s="26" t="n">
        <v>465</v>
      </c>
      <c r="I40" s="27" t="n">
        <f aca="false">G40*H40</f>
        <v>930</v>
      </c>
      <c r="J40" s="28" t="n">
        <v>0</v>
      </c>
    </row>
    <row r="41" customFormat="false" ht="15" hidden="false" customHeight="true" outlineLevel="0" collapsed="false">
      <c r="A41" s="21" t="n">
        <f aca="false">IF(B41="","",ROW()-1)</f>
        <v>40</v>
      </c>
      <c r="B41" s="22" t="s">
        <v>70</v>
      </c>
      <c r="C41" s="23" t="str">
        <f aca="false">IF(B41="","","200"&amp;TEXT(ROW()-1,"0000000000"))</f>
        <v>2000000000040</v>
      </c>
      <c r="D41" s="24" t="n">
        <v>4</v>
      </c>
      <c r="E41" s="25" t="n">
        <f aca="false">IF($B41="",0,SUMIF(المبيعات!$D$2:$D$401,$C41,المبيعات!$E$2:$E$401))</f>
        <v>0</v>
      </c>
      <c r="F41" s="25" t="n">
        <f aca="false">IF($B41="",0,SUMIF(المرتجعات!$D$2:$D$301,$C41,المرتجعات!$E$2:$E$301))</f>
        <v>0</v>
      </c>
      <c r="G41" s="21" t="n">
        <f aca="false">D41-E41+F41+J41</f>
        <v>4</v>
      </c>
      <c r="H41" s="26" t="n">
        <v>380</v>
      </c>
      <c r="I41" s="27" t="n">
        <f aca="false">G41*H41</f>
        <v>1520</v>
      </c>
      <c r="J41" s="28" t="n">
        <v>0</v>
      </c>
    </row>
    <row r="42" customFormat="false" ht="15" hidden="false" customHeight="true" outlineLevel="0" collapsed="false">
      <c r="A42" s="21" t="n">
        <f aca="false">IF(B42="","",ROW()-1)</f>
        <v>41</v>
      </c>
      <c r="B42" s="22" t="s">
        <v>71</v>
      </c>
      <c r="C42" s="23" t="str">
        <f aca="false">IF(B42="","","200"&amp;TEXT(ROW()-1,"0000000000"))</f>
        <v>2000000000041</v>
      </c>
      <c r="D42" s="24" t="n">
        <v>1</v>
      </c>
      <c r="E42" s="25" t="n">
        <f aca="false">IF($B42="",0,SUMIF(المبيعات!$D$2:$D$401,$C42,المبيعات!$E$2:$E$401))</f>
        <v>0</v>
      </c>
      <c r="F42" s="25" t="n">
        <f aca="false">IF($B42="",0,SUMIF(المرتجعات!$D$2:$D$301,$C42,المرتجعات!$E$2:$E$301))</f>
        <v>0</v>
      </c>
      <c r="G42" s="21" t="n">
        <f aca="false">D42-E42+F42+J42</f>
        <v>1</v>
      </c>
      <c r="H42" s="26" t="n">
        <v>375</v>
      </c>
      <c r="I42" s="27" t="n">
        <f aca="false">G42*H42</f>
        <v>375</v>
      </c>
      <c r="J42" s="28" t="n">
        <v>0</v>
      </c>
    </row>
    <row r="43" customFormat="false" ht="15" hidden="false" customHeight="true" outlineLevel="0" collapsed="false">
      <c r="A43" s="21" t="n">
        <f aca="false">IF(B43="","",ROW()-1)</f>
        <v>42</v>
      </c>
      <c r="B43" s="22" t="s">
        <v>72</v>
      </c>
      <c r="C43" s="23" t="str">
        <f aca="false">IF(B43="","","200"&amp;TEXT(ROW()-1,"0000000000"))</f>
        <v>2000000000042</v>
      </c>
      <c r="D43" s="24" t="n">
        <v>2</v>
      </c>
      <c r="E43" s="25" t="n">
        <f aca="false">IF($B43="",0,SUMIF(المبيعات!$D$2:$D$401,$C43,المبيعات!$E$2:$E$401))</f>
        <v>0</v>
      </c>
      <c r="F43" s="25" t="n">
        <f aca="false">IF($B43="",0,SUMIF(المرتجعات!$D$2:$D$301,$C43,المرتجعات!$E$2:$E$301))</f>
        <v>0</v>
      </c>
      <c r="G43" s="21" t="n">
        <f aca="false">D43-E43+F43+J43</f>
        <v>2</v>
      </c>
      <c r="H43" s="26" t="n">
        <v>380</v>
      </c>
      <c r="I43" s="27" t="n">
        <f aca="false">G43*H43</f>
        <v>760</v>
      </c>
      <c r="J43" s="28" t="n">
        <v>0</v>
      </c>
    </row>
    <row r="44" customFormat="false" ht="15" hidden="false" customHeight="true" outlineLevel="0" collapsed="false">
      <c r="A44" s="21" t="n">
        <f aca="false">IF(B44="","",ROW()-1)</f>
        <v>43</v>
      </c>
      <c r="B44" s="22" t="s">
        <v>73</v>
      </c>
      <c r="C44" s="23" t="str">
        <f aca="false">IF(B44="","","200"&amp;TEXT(ROW()-1,"0000000000"))</f>
        <v>2000000000043</v>
      </c>
      <c r="D44" s="24" t="n">
        <v>12</v>
      </c>
      <c r="E44" s="25" t="n">
        <f aca="false">IF($B44="",0,SUMIF(المبيعات!$D$2:$D$401,$C44,المبيعات!$E$2:$E$401))</f>
        <v>0</v>
      </c>
      <c r="F44" s="25" t="n">
        <f aca="false">IF($B44="",0,SUMIF(المرتجعات!$D$2:$D$301,$C44,المرتجعات!$E$2:$E$301))</f>
        <v>0</v>
      </c>
      <c r="G44" s="21" t="n">
        <f aca="false">D44-E44+F44+J44</f>
        <v>12</v>
      </c>
      <c r="H44" s="26" t="n">
        <v>280</v>
      </c>
      <c r="I44" s="27" t="n">
        <f aca="false">G44*H44</f>
        <v>3360</v>
      </c>
      <c r="J44" s="28" t="n">
        <v>0</v>
      </c>
    </row>
    <row r="45" customFormat="false" ht="15" hidden="false" customHeight="true" outlineLevel="0" collapsed="false">
      <c r="A45" s="21" t="n">
        <f aca="false">IF(B45="","",ROW()-1)</f>
        <v>44</v>
      </c>
      <c r="B45" s="22" t="s">
        <v>74</v>
      </c>
      <c r="C45" s="23" t="str">
        <f aca="false">IF(B45="","","200"&amp;TEXT(ROW()-1,"0000000000"))</f>
        <v>2000000000044</v>
      </c>
      <c r="D45" s="24" t="n">
        <v>7</v>
      </c>
      <c r="E45" s="25" t="n">
        <f aca="false">IF($B45="",0,SUMIF(المبيعات!$D$2:$D$401,$C45,المبيعات!$E$2:$E$401))</f>
        <v>0</v>
      </c>
      <c r="F45" s="25" t="n">
        <f aca="false">IF($B45="",0,SUMIF(المرتجعات!$D$2:$D$301,$C45,المرتجعات!$E$2:$E$301))</f>
        <v>0</v>
      </c>
      <c r="G45" s="21" t="n">
        <f aca="false">D45-E45+F45+J45</f>
        <v>7</v>
      </c>
      <c r="H45" s="26" t="n">
        <v>315</v>
      </c>
      <c r="I45" s="27" t="n">
        <f aca="false">G45*H45</f>
        <v>2205</v>
      </c>
      <c r="J45" s="28" t="n">
        <v>0</v>
      </c>
    </row>
    <row r="46" customFormat="false" ht="15" hidden="false" customHeight="true" outlineLevel="0" collapsed="false">
      <c r="A46" s="21" t="n">
        <f aca="false">IF(B46="","",ROW()-1)</f>
        <v>45</v>
      </c>
      <c r="B46" s="22" t="s">
        <v>75</v>
      </c>
      <c r="C46" s="23" t="str">
        <f aca="false">IF(B46="","","200"&amp;TEXT(ROW()-1,"0000000000"))</f>
        <v>2000000000045</v>
      </c>
      <c r="D46" s="24" t="n">
        <v>2</v>
      </c>
      <c r="E46" s="25" t="n">
        <f aca="false">IF($B46="",0,SUMIF(المبيعات!$D$2:$D$401,$C46,المبيعات!$E$2:$E$401))</f>
        <v>0</v>
      </c>
      <c r="F46" s="25" t="n">
        <f aca="false">IF($B46="",0,SUMIF(المرتجعات!$D$2:$D$301,$C46,المرتجعات!$E$2:$E$301))</f>
        <v>0</v>
      </c>
      <c r="G46" s="21" t="n">
        <f aca="false">D46-E46+F46+J46</f>
        <v>2</v>
      </c>
      <c r="H46" s="26" t="n">
        <v>550</v>
      </c>
      <c r="I46" s="27" t="n">
        <f aca="false">G46*H46</f>
        <v>1100</v>
      </c>
      <c r="J46" s="28" t="n">
        <v>0</v>
      </c>
    </row>
    <row r="47" customFormat="false" ht="15" hidden="false" customHeight="true" outlineLevel="0" collapsed="false">
      <c r="A47" s="21" t="n">
        <f aca="false">IF(B47="","",ROW()-1)</f>
        <v>46</v>
      </c>
      <c r="B47" s="22" t="s">
        <v>76</v>
      </c>
      <c r="C47" s="23" t="str">
        <f aca="false">IF(B47="","","200"&amp;TEXT(ROW()-1,"0000000000"))</f>
        <v>2000000000046</v>
      </c>
      <c r="D47" s="24" t="n">
        <v>6</v>
      </c>
      <c r="E47" s="25" t="n">
        <f aca="false">IF($B47="",0,SUMIF(المبيعات!$D$2:$D$401,$C47,المبيعات!$E$2:$E$401))</f>
        <v>0</v>
      </c>
      <c r="F47" s="25" t="n">
        <f aca="false">IF($B47="",0,SUMIF(المرتجعات!$D$2:$D$301,$C47,المرتجعات!$E$2:$E$301))</f>
        <v>0</v>
      </c>
      <c r="G47" s="21" t="n">
        <f aca="false">D47-E47+F47+J47</f>
        <v>6</v>
      </c>
      <c r="H47" s="26" t="n">
        <v>320</v>
      </c>
      <c r="I47" s="27" t="n">
        <f aca="false">G47*H47</f>
        <v>1920</v>
      </c>
      <c r="J47" s="28" t="n">
        <v>0</v>
      </c>
    </row>
    <row r="48" customFormat="false" ht="15" hidden="false" customHeight="true" outlineLevel="0" collapsed="false">
      <c r="A48" s="21" t="n">
        <f aca="false">IF(B48="","",ROW()-1)</f>
        <v>47</v>
      </c>
      <c r="B48" s="22" t="s">
        <v>77</v>
      </c>
      <c r="C48" s="23" t="str">
        <f aca="false">IF(B48="","","200"&amp;TEXT(ROW()-1,"0000000000"))</f>
        <v>2000000000047</v>
      </c>
      <c r="D48" s="24" t="n">
        <v>1</v>
      </c>
      <c r="E48" s="25" t="n">
        <f aca="false">IF($B48="",0,SUMIF(المبيعات!$D$2:$D$401,$C48,المبيعات!$E$2:$E$401))</f>
        <v>0</v>
      </c>
      <c r="F48" s="25" t="n">
        <f aca="false">IF($B48="",0,SUMIF(المرتجعات!$D$2:$D$301,$C48,المرتجعات!$E$2:$E$301))</f>
        <v>0</v>
      </c>
      <c r="G48" s="21" t="n">
        <f aca="false">D48-E48+F48+J48</f>
        <v>1</v>
      </c>
      <c r="H48" s="26" t="n">
        <v>450</v>
      </c>
      <c r="I48" s="27" t="n">
        <f aca="false">G48*H48</f>
        <v>450</v>
      </c>
      <c r="J48" s="28" t="n">
        <v>0</v>
      </c>
    </row>
    <row r="49" customFormat="false" ht="15" hidden="false" customHeight="true" outlineLevel="0" collapsed="false">
      <c r="A49" s="21" t="n">
        <f aca="false">IF(B49="","",ROW()-1)</f>
        <v>48</v>
      </c>
      <c r="B49" s="22" t="s">
        <v>78</v>
      </c>
      <c r="C49" s="23" t="str">
        <f aca="false">IF(B49="","","200"&amp;TEXT(ROW()-1,"0000000000"))</f>
        <v>2000000000048</v>
      </c>
      <c r="D49" s="24" t="n">
        <v>1</v>
      </c>
      <c r="E49" s="25" t="n">
        <f aca="false">IF($B49="",0,SUMIF(المبيعات!$D$2:$D$401,$C49,المبيعات!$E$2:$E$401))</f>
        <v>0</v>
      </c>
      <c r="F49" s="25" t="n">
        <f aca="false">IF($B49="",0,SUMIF(المرتجعات!$D$2:$D$301,$C49,المرتجعات!$E$2:$E$301))</f>
        <v>0</v>
      </c>
      <c r="G49" s="21" t="n">
        <f aca="false">D49-E49+F49+J49</f>
        <v>1</v>
      </c>
      <c r="H49" s="26" t="n">
        <v>575</v>
      </c>
      <c r="I49" s="27" t="n">
        <f aca="false">G49*H49</f>
        <v>575</v>
      </c>
      <c r="J49" s="28" t="n">
        <v>0</v>
      </c>
    </row>
    <row r="50" customFormat="false" ht="15" hidden="false" customHeight="true" outlineLevel="0" collapsed="false">
      <c r="A50" s="21" t="n">
        <f aca="false">IF(B50="","",ROW()-1)</f>
        <v>49</v>
      </c>
      <c r="B50" s="22" t="s">
        <v>79</v>
      </c>
      <c r="C50" s="23" t="str">
        <f aca="false">IF(B50="","","200"&amp;TEXT(ROW()-1,"0000000000"))</f>
        <v>2000000000049</v>
      </c>
      <c r="D50" s="24" t="n">
        <v>2</v>
      </c>
      <c r="E50" s="25" t="n">
        <f aca="false">IF($B50="",0,SUMIF(المبيعات!$D$2:$D$401,$C50,المبيعات!$E$2:$E$401))</f>
        <v>0</v>
      </c>
      <c r="F50" s="25" t="n">
        <f aca="false">IF($B50="",0,SUMIF(المرتجعات!$D$2:$D$301,$C50,المرتجعات!$E$2:$E$301))</f>
        <v>0</v>
      </c>
      <c r="G50" s="21" t="n">
        <f aca="false">D50-E50+F50+J50</f>
        <v>2</v>
      </c>
      <c r="H50" s="26" t="n">
        <v>550</v>
      </c>
      <c r="I50" s="27" t="n">
        <f aca="false">G50*H50</f>
        <v>1100</v>
      </c>
      <c r="J50" s="28" t="n">
        <v>0</v>
      </c>
    </row>
    <row r="51" customFormat="false" ht="15" hidden="false" customHeight="true" outlineLevel="0" collapsed="false">
      <c r="A51" s="21" t="n">
        <f aca="false">IF(B51="","",ROW()-1)</f>
        <v>50</v>
      </c>
      <c r="B51" s="22" t="s">
        <v>80</v>
      </c>
      <c r="C51" s="23" t="str">
        <f aca="false">IF(B51="","","200"&amp;TEXT(ROW()-1,"0000000000"))</f>
        <v>2000000000050</v>
      </c>
      <c r="D51" s="24" t="n">
        <v>0</v>
      </c>
      <c r="E51" s="25" t="n">
        <f aca="false">IF($B51="",0,SUMIF(المبيعات!$D$2:$D$401,$C51,المبيعات!$E$2:$E$401))</f>
        <v>0</v>
      </c>
      <c r="F51" s="25" t="n">
        <f aca="false">IF($B51="",0,SUMIF(المرتجعات!$D$2:$D$301,$C51,المرتجعات!$E$2:$E$301))</f>
        <v>0</v>
      </c>
      <c r="G51" s="21" t="n">
        <f aca="false">D51-E51+F51+J51</f>
        <v>0</v>
      </c>
      <c r="H51" s="26" t="n">
        <v>340</v>
      </c>
      <c r="I51" s="27" t="n">
        <f aca="false">G51*H51</f>
        <v>0</v>
      </c>
      <c r="J51" s="28" t="n">
        <v>0</v>
      </c>
    </row>
    <row r="52" customFormat="false" ht="15" hidden="false" customHeight="true" outlineLevel="0" collapsed="false">
      <c r="A52" s="21" t="n">
        <f aca="false">IF(B52="","",ROW()-1)</f>
        <v>51</v>
      </c>
      <c r="B52" s="22" t="s">
        <v>81</v>
      </c>
      <c r="C52" s="23" t="str">
        <f aca="false">IF(B52="","","200"&amp;TEXT(ROW()-1,"0000000000"))</f>
        <v>2000000000051</v>
      </c>
      <c r="D52" s="24" t="n">
        <v>1</v>
      </c>
      <c r="E52" s="25" t="n">
        <f aca="false">IF($B52="",0,SUMIF(المبيعات!$D$2:$D$401,$C52,المبيعات!$E$2:$E$401))</f>
        <v>0</v>
      </c>
      <c r="F52" s="25" t="n">
        <f aca="false">IF($B52="",0,SUMIF(المرتجعات!$D$2:$D$301,$C52,المرتجعات!$E$2:$E$301))</f>
        <v>0</v>
      </c>
      <c r="G52" s="21" t="n">
        <f aca="false">D52-E52+F52+J52</f>
        <v>1</v>
      </c>
      <c r="H52" s="26" t="n">
        <v>330</v>
      </c>
      <c r="I52" s="27" t="n">
        <f aca="false">G52*H52</f>
        <v>330</v>
      </c>
      <c r="J52" s="28" t="n">
        <v>0</v>
      </c>
    </row>
    <row r="53" customFormat="false" ht="15" hidden="false" customHeight="true" outlineLevel="0" collapsed="false">
      <c r="A53" s="21" t="n">
        <f aca="false">IF(B53="","",ROW()-1)</f>
        <v>52</v>
      </c>
      <c r="B53" s="22" t="s">
        <v>82</v>
      </c>
      <c r="C53" s="23" t="str">
        <f aca="false">IF(B53="","","200"&amp;TEXT(ROW()-1,"0000000000"))</f>
        <v>2000000000052</v>
      </c>
      <c r="D53" s="24" t="n">
        <v>6</v>
      </c>
      <c r="E53" s="25" t="n">
        <f aca="false">IF($B53="",0,SUMIF(المبيعات!$D$2:$D$401,$C53,المبيعات!$E$2:$E$401))</f>
        <v>0</v>
      </c>
      <c r="F53" s="25" t="n">
        <f aca="false">IF($B53="",0,SUMIF(المرتجعات!$D$2:$D$301,$C53,المرتجعات!$E$2:$E$301))</f>
        <v>0</v>
      </c>
      <c r="G53" s="21" t="n">
        <f aca="false">D53-E53+F53+J53</f>
        <v>6</v>
      </c>
      <c r="H53" s="26" t="n">
        <v>510</v>
      </c>
      <c r="I53" s="27" t="n">
        <f aca="false">G53*H53</f>
        <v>3060</v>
      </c>
      <c r="J53" s="28" t="n">
        <v>0</v>
      </c>
    </row>
    <row r="54" customFormat="false" ht="15" hidden="false" customHeight="true" outlineLevel="0" collapsed="false">
      <c r="A54" s="21" t="n">
        <f aca="false">IF(B54="","",ROW()-1)</f>
        <v>53</v>
      </c>
      <c r="B54" s="22" t="s">
        <v>83</v>
      </c>
      <c r="C54" s="23" t="str">
        <f aca="false">IF(B54="","","200"&amp;TEXT(ROW()-1,"0000000000"))</f>
        <v>2000000000053</v>
      </c>
      <c r="D54" s="24" t="n">
        <v>22</v>
      </c>
      <c r="E54" s="25" t="n">
        <f aca="false">IF($B54="",0,SUMIF(المبيعات!$D$2:$D$401,$C54,المبيعات!$E$2:$E$401))</f>
        <v>0</v>
      </c>
      <c r="F54" s="25" t="n">
        <f aca="false">IF($B54="",0,SUMIF(المرتجعات!$D$2:$D$301,$C54,المرتجعات!$E$2:$E$301))</f>
        <v>0</v>
      </c>
      <c r="G54" s="21" t="n">
        <f aca="false">D54-E54+F54+J54</f>
        <v>22</v>
      </c>
      <c r="H54" s="26" t="n">
        <v>330</v>
      </c>
      <c r="I54" s="27" t="n">
        <f aca="false">G54*H54</f>
        <v>7260</v>
      </c>
      <c r="J54" s="28" t="n">
        <v>0</v>
      </c>
    </row>
    <row r="55" customFormat="false" ht="15" hidden="false" customHeight="true" outlineLevel="0" collapsed="false">
      <c r="A55" s="21" t="n">
        <f aca="false">IF(B55="","",ROW()-1)</f>
        <v>54</v>
      </c>
      <c r="B55" s="22" t="s">
        <v>84</v>
      </c>
      <c r="C55" s="23" t="str">
        <f aca="false">IF(B55="","","200"&amp;TEXT(ROW()-1,"0000000000"))</f>
        <v>2000000000054</v>
      </c>
      <c r="D55" s="24" t="n">
        <v>1</v>
      </c>
      <c r="E55" s="25" t="n">
        <f aca="false">IF($B55="",0,SUMIF(المبيعات!$D$2:$D$401,$C55,المبيعات!$E$2:$E$401))</f>
        <v>0</v>
      </c>
      <c r="F55" s="25" t="n">
        <f aca="false">IF($B55="",0,SUMIF(المرتجعات!$D$2:$D$301,$C55,المرتجعات!$E$2:$E$301))</f>
        <v>0</v>
      </c>
      <c r="G55" s="21" t="n">
        <f aca="false">D55-E55+F55+J55</f>
        <v>1</v>
      </c>
      <c r="H55" s="26" t="n">
        <v>430</v>
      </c>
      <c r="I55" s="27" t="n">
        <f aca="false">G55*H55</f>
        <v>430</v>
      </c>
      <c r="J55" s="28" t="n">
        <v>0</v>
      </c>
    </row>
    <row r="56" customFormat="false" ht="15" hidden="false" customHeight="true" outlineLevel="0" collapsed="false">
      <c r="A56" s="21" t="n">
        <f aca="false">IF(B56="","",ROW()-1)</f>
        <v>55</v>
      </c>
      <c r="B56" s="22" t="s">
        <v>85</v>
      </c>
      <c r="C56" s="23" t="str">
        <f aca="false">IF(B56="","","200"&amp;TEXT(ROW()-1,"0000000000"))</f>
        <v>2000000000055</v>
      </c>
      <c r="D56" s="24" t="n">
        <v>3</v>
      </c>
      <c r="E56" s="25" t="n">
        <f aca="false">IF($B56="",0,SUMIF(المبيعات!$D$2:$D$401,$C56,المبيعات!$E$2:$E$401))</f>
        <v>0</v>
      </c>
      <c r="F56" s="25" t="n">
        <f aca="false">IF($B56="",0,SUMIF(المرتجعات!$D$2:$D$301,$C56,المرتجعات!$E$2:$E$301))</f>
        <v>0</v>
      </c>
      <c r="G56" s="21" t="n">
        <f aca="false">D56-E56+F56+J56</f>
        <v>3</v>
      </c>
      <c r="H56" s="26" t="n">
        <v>360</v>
      </c>
      <c r="I56" s="27" t="n">
        <f aca="false">G56*H56</f>
        <v>1080</v>
      </c>
      <c r="J56" s="28" t="n">
        <v>0</v>
      </c>
    </row>
    <row r="57" customFormat="false" ht="15" hidden="false" customHeight="true" outlineLevel="0" collapsed="false">
      <c r="A57" s="21" t="n">
        <f aca="false">IF(B57="","",ROW()-1)</f>
        <v>56</v>
      </c>
      <c r="B57" s="22" t="s">
        <v>86</v>
      </c>
      <c r="C57" s="23" t="str">
        <f aca="false">IF(B57="","","200"&amp;TEXT(ROW()-1,"0000000000"))</f>
        <v>2000000000056</v>
      </c>
      <c r="D57" s="24" t="n">
        <v>1</v>
      </c>
      <c r="E57" s="25" t="n">
        <f aca="false">IF($B57="",0,SUMIF(المبيعات!$D$2:$D$401,$C57,المبيعات!$E$2:$E$401))</f>
        <v>0</v>
      </c>
      <c r="F57" s="25" t="n">
        <f aca="false">IF($B57="",0,SUMIF(المرتجعات!$D$2:$D$301,$C57,المرتجعات!$E$2:$E$301))</f>
        <v>0</v>
      </c>
      <c r="G57" s="21" t="n">
        <f aca="false">D57-E57+F57+J57</f>
        <v>1</v>
      </c>
      <c r="H57" s="26" t="n">
        <v>310</v>
      </c>
      <c r="I57" s="27" t="n">
        <f aca="false">G57*H57</f>
        <v>310</v>
      </c>
      <c r="J57" s="28" t="n">
        <v>0</v>
      </c>
    </row>
    <row r="58" customFormat="false" ht="15" hidden="false" customHeight="true" outlineLevel="0" collapsed="false">
      <c r="A58" s="21" t="n">
        <f aca="false">IF(B58="","",ROW()-1)</f>
        <v>57</v>
      </c>
      <c r="B58" s="22" t="s">
        <v>87</v>
      </c>
      <c r="C58" s="23" t="str">
        <f aca="false">IF(B58="","","200"&amp;TEXT(ROW()-1,"0000000000"))</f>
        <v>2000000000057</v>
      </c>
      <c r="D58" s="24" t="n">
        <v>10</v>
      </c>
      <c r="E58" s="25" t="n">
        <f aca="false">IF($B58="",0,SUMIF(المبيعات!$D$2:$D$401,$C58,المبيعات!$E$2:$E$401))</f>
        <v>0</v>
      </c>
      <c r="F58" s="25" t="n">
        <f aca="false">IF($B58="",0,SUMIF(المرتجعات!$D$2:$D$301,$C58,المرتجعات!$E$2:$E$301))</f>
        <v>0</v>
      </c>
      <c r="G58" s="21" t="n">
        <f aca="false">D58-E58+F58+J58</f>
        <v>10</v>
      </c>
      <c r="H58" s="26" t="n">
        <v>330</v>
      </c>
      <c r="I58" s="27" t="n">
        <f aca="false">G58*H58</f>
        <v>3300</v>
      </c>
      <c r="J58" s="28" t="n">
        <v>0</v>
      </c>
    </row>
    <row r="59" customFormat="false" ht="15" hidden="false" customHeight="true" outlineLevel="0" collapsed="false">
      <c r="A59" s="21" t="n">
        <f aca="false">IF(B59="","",ROW()-1)</f>
        <v>58</v>
      </c>
      <c r="B59" s="22" t="s">
        <v>88</v>
      </c>
      <c r="C59" s="23" t="str">
        <f aca="false">IF(B59="","","200"&amp;TEXT(ROW()-1,"0000000000"))</f>
        <v>2000000000058</v>
      </c>
      <c r="D59" s="24" t="n">
        <v>2</v>
      </c>
      <c r="E59" s="25" t="n">
        <f aca="false">IF($B59="",0,SUMIF(المبيعات!$D$2:$D$401,$C59,المبيعات!$E$2:$E$401))</f>
        <v>0</v>
      </c>
      <c r="F59" s="25" t="n">
        <f aca="false">IF($B59="",0,SUMIF(المرتجعات!$D$2:$D$301,$C59,المرتجعات!$E$2:$E$301))</f>
        <v>0</v>
      </c>
      <c r="G59" s="21" t="n">
        <f aca="false">D59-E59+F59+J59</f>
        <v>2</v>
      </c>
      <c r="H59" s="26" t="n">
        <v>320</v>
      </c>
      <c r="I59" s="27" t="n">
        <f aca="false">G59*H59</f>
        <v>640</v>
      </c>
      <c r="J59" s="28" t="n">
        <v>0</v>
      </c>
    </row>
    <row r="60" customFormat="false" ht="15" hidden="false" customHeight="true" outlineLevel="0" collapsed="false">
      <c r="A60" s="21" t="n">
        <f aca="false">IF(B60="","",ROW()-1)</f>
        <v>59</v>
      </c>
      <c r="B60" s="22" t="s">
        <v>89</v>
      </c>
      <c r="C60" s="23" t="str">
        <f aca="false">IF(B60="","","200"&amp;TEXT(ROW()-1,"0000000000"))</f>
        <v>2000000000059</v>
      </c>
      <c r="D60" s="24" t="n">
        <v>7</v>
      </c>
      <c r="E60" s="25" t="n">
        <f aca="false">IF($B60="",0,SUMIF(المبيعات!$D$2:$D$401,$C60,المبيعات!$E$2:$E$401))</f>
        <v>0</v>
      </c>
      <c r="F60" s="25" t="n">
        <f aca="false">IF($B60="",0,SUMIF(المرتجعات!$D$2:$D$301,$C60,المرتجعات!$E$2:$E$301))</f>
        <v>0</v>
      </c>
      <c r="G60" s="21" t="n">
        <f aca="false">D60-E60+F60+J60</f>
        <v>7</v>
      </c>
      <c r="H60" s="26" t="n">
        <v>340</v>
      </c>
      <c r="I60" s="27" t="n">
        <f aca="false">G60*H60</f>
        <v>2380</v>
      </c>
      <c r="J60" s="28" t="n">
        <v>0</v>
      </c>
    </row>
    <row r="61" customFormat="false" ht="15" hidden="false" customHeight="true" outlineLevel="0" collapsed="false">
      <c r="A61" s="21" t="n">
        <f aca="false">IF(B61="","",ROW()-1)</f>
        <v>60</v>
      </c>
      <c r="B61" s="22" t="s">
        <v>90</v>
      </c>
      <c r="C61" s="23" t="str">
        <f aca="false">IF(B61="","","200"&amp;TEXT(ROW()-1,"0000000000"))</f>
        <v>2000000000060</v>
      </c>
      <c r="D61" s="24" t="n">
        <v>2</v>
      </c>
      <c r="E61" s="25" t="n">
        <f aca="false">IF($B61="",0,SUMIF(المبيعات!$D$2:$D$401,$C61,المبيعات!$E$2:$E$401))</f>
        <v>0</v>
      </c>
      <c r="F61" s="25" t="n">
        <f aca="false">IF($B61="",0,SUMIF(المرتجعات!$D$2:$D$301,$C61,المرتجعات!$E$2:$E$301))</f>
        <v>0</v>
      </c>
      <c r="G61" s="21" t="n">
        <f aca="false">D61-E61+F61+J61</f>
        <v>2</v>
      </c>
      <c r="H61" s="26" t="n">
        <v>390</v>
      </c>
      <c r="I61" s="27" t="n">
        <f aca="false">G61*H61</f>
        <v>780</v>
      </c>
      <c r="J61" s="28" t="n">
        <v>0</v>
      </c>
    </row>
    <row r="62" customFormat="false" ht="15" hidden="false" customHeight="true" outlineLevel="0" collapsed="false">
      <c r="A62" s="21" t="n">
        <f aca="false">IF(B62="","",ROW()-1)</f>
        <v>61</v>
      </c>
      <c r="B62" s="22" t="s">
        <v>91</v>
      </c>
      <c r="C62" s="23" t="str">
        <f aca="false">IF(B62="","","200"&amp;TEXT(ROW()-1,"0000000000"))</f>
        <v>2000000000061</v>
      </c>
      <c r="D62" s="24" t="n">
        <v>1</v>
      </c>
      <c r="E62" s="25" t="n">
        <f aca="false">IF($B62="",0,SUMIF(المبيعات!$D$2:$D$401,$C62,المبيعات!$E$2:$E$401))</f>
        <v>0</v>
      </c>
      <c r="F62" s="25" t="n">
        <f aca="false">IF($B62="",0,SUMIF(المرتجعات!$D$2:$D$301,$C62,المرتجعات!$E$2:$E$301))</f>
        <v>0</v>
      </c>
      <c r="G62" s="21" t="n">
        <f aca="false">D62-E62+F62+J62</f>
        <v>1</v>
      </c>
      <c r="H62" s="26" t="n">
        <v>330</v>
      </c>
      <c r="I62" s="27" t="n">
        <f aca="false">G62*H62</f>
        <v>330</v>
      </c>
      <c r="J62" s="28" t="n">
        <v>0</v>
      </c>
    </row>
    <row r="63" customFormat="false" ht="15" hidden="false" customHeight="true" outlineLevel="0" collapsed="false">
      <c r="A63" s="21" t="n">
        <f aca="false">IF(B63="","",ROW()-1)</f>
        <v>62</v>
      </c>
      <c r="B63" s="22" t="s">
        <v>92</v>
      </c>
      <c r="C63" s="23" t="str">
        <f aca="false">IF(B63="","","200"&amp;TEXT(ROW()-1,"0000000000"))</f>
        <v>2000000000062</v>
      </c>
      <c r="D63" s="24" t="n">
        <v>4</v>
      </c>
      <c r="E63" s="25" t="n">
        <f aca="false">IF($B63="",0,SUMIF(المبيعات!$D$2:$D$401,$C63,المبيعات!$E$2:$E$401))</f>
        <v>0</v>
      </c>
      <c r="F63" s="25" t="n">
        <f aca="false">IF($B63="",0,SUMIF(المرتجعات!$D$2:$D$301,$C63,المرتجعات!$E$2:$E$301))</f>
        <v>0</v>
      </c>
      <c r="G63" s="21" t="n">
        <f aca="false">D63-E63+F63+J63</f>
        <v>4</v>
      </c>
      <c r="H63" s="26" t="n">
        <v>160</v>
      </c>
      <c r="I63" s="27" t="n">
        <f aca="false">G63*H63</f>
        <v>640</v>
      </c>
      <c r="J63" s="28" t="n">
        <v>0</v>
      </c>
    </row>
    <row r="64" customFormat="false" ht="15" hidden="false" customHeight="true" outlineLevel="0" collapsed="false">
      <c r="A64" s="21" t="n">
        <f aca="false">IF(B64="","",ROW()-1)</f>
        <v>63</v>
      </c>
      <c r="B64" s="22" t="s">
        <v>93</v>
      </c>
      <c r="C64" s="23" t="str">
        <f aca="false">IF(B64="","","200"&amp;TEXT(ROW()-1,"0000000000"))</f>
        <v>2000000000063</v>
      </c>
      <c r="D64" s="24" t="n">
        <v>3</v>
      </c>
      <c r="E64" s="25" t="n">
        <f aca="false">IF($B64="",0,SUMIF(المبيعات!$D$2:$D$401,$C64,المبيعات!$E$2:$E$401))</f>
        <v>0</v>
      </c>
      <c r="F64" s="25" t="n">
        <f aca="false">IF($B64="",0,SUMIF(المرتجعات!$D$2:$D$301,$C64,المرتجعات!$E$2:$E$301))</f>
        <v>0</v>
      </c>
      <c r="G64" s="21" t="n">
        <f aca="false">D64-E64+F64+J64</f>
        <v>3</v>
      </c>
      <c r="H64" s="26" t="n">
        <v>115</v>
      </c>
      <c r="I64" s="27" t="n">
        <f aca="false">G64*H64</f>
        <v>345</v>
      </c>
      <c r="J64" s="28" t="n">
        <v>0</v>
      </c>
    </row>
    <row r="65" customFormat="false" ht="15" hidden="false" customHeight="true" outlineLevel="0" collapsed="false">
      <c r="A65" s="21" t="n">
        <f aca="false">IF(B65="","",ROW()-1)</f>
        <v>64</v>
      </c>
      <c r="B65" s="22" t="s">
        <v>94</v>
      </c>
      <c r="C65" s="23" t="str">
        <f aca="false">IF(B65="","","200"&amp;TEXT(ROW()-1,"0000000000"))</f>
        <v>2000000000064</v>
      </c>
      <c r="D65" s="24" t="n">
        <v>1</v>
      </c>
      <c r="E65" s="25" t="n">
        <f aca="false">IF($B65="",0,SUMIF(المبيعات!$D$2:$D$401,$C65,المبيعات!$E$2:$E$401))</f>
        <v>0</v>
      </c>
      <c r="F65" s="25" t="n">
        <f aca="false">IF($B65="",0,SUMIF(المرتجعات!$D$2:$D$301,$C65,المرتجعات!$E$2:$E$301))</f>
        <v>0</v>
      </c>
      <c r="G65" s="21" t="n">
        <f aca="false">D65-E65+F65+J65</f>
        <v>1</v>
      </c>
      <c r="H65" s="26" t="n">
        <v>210</v>
      </c>
      <c r="I65" s="27" t="n">
        <f aca="false">G65*H65</f>
        <v>210</v>
      </c>
      <c r="J65" s="28" t="n">
        <v>0</v>
      </c>
    </row>
    <row r="66" customFormat="false" ht="15" hidden="false" customHeight="true" outlineLevel="0" collapsed="false">
      <c r="A66" s="21" t="n">
        <f aca="false">IF(B66="","",ROW()-1)</f>
        <v>65</v>
      </c>
      <c r="B66" s="22" t="s">
        <v>95</v>
      </c>
      <c r="C66" s="23" t="str">
        <f aca="false">IF(B66="","","200"&amp;TEXT(ROW()-1,"0000000000"))</f>
        <v>2000000000065</v>
      </c>
      <c r="D66" s="24" t="n">
        <v>31</v>
      </c>
      <c r="E66" s="25" t="n">
        <f aca="false">IF($B66="",0,SUMIF(المبيعات!$D$2:$D$401,$C66,المبيعات!$E$2:$E$401))</f>
        <v>0</v>
      </c>
      <c r="F66" s="25" t="n">
        <f aca="false">IF($B66="",0,SUMIF(المرتجعات!$D$2:$D$301,$C66,المرتجعات!$E$2:$E$301))</f>
        <v>0</v>
      </c>
      <c r="G66" s="21" t="n">
        <f aca="false">D66-E66+F66+J66</f>
        <v>31</v>
      </c>
      <c r="H66" s="26" t="n">
        <v>315</v>
      </c>
      <c r="I66" s="27" t="n">
        <f aca="false">G66*H66</f>
        <v>9765</v>
      </c>
      <c r="J66" s="28" t="n">
        <v>0</v>
      </c>
    </row>
    <row r="67" customFormat="false" ht="15" hidden="false" customHeight="true" outlineLevel="0" collapsed="false">
      <c r="A67" s="21" t="n">
        <f aca="false">IF(B67="","",ROW()-1)</f>
        <v>66</v>
      </c>
      <c r="B67" s="22" t="s">
        <v>96</v>
      </c>
      <c r="C67" s="23" t="str">
        <f aca="false">IF(B67="","","200"&amp;TEXT(ROW()-1,"0000000000"))</f>
        <v>2000000000066</v>
      </c>
      <c r="D67" s="24" t="n">
        <v>98</v>
      </c>
      <c r="E67" s="25" t="n">
        <f aca="false">IF($B67="",0,SUMIF(المبيعات!$D$2:$D$401,$C67,المبيعات!$E$2:$E$401))</f>
        <v>0</v>
      </c>
      <c r="F67" s="25" t="n">
        <f aca="false">IF($B67="",0,SUMIF(المرتجعات!$D$2:$D$301,$C67,المرتجعات!$E$2:$E$301))</f>
        <v>0</v>
      </c>
      <c r="G67" s="21" t="n">
        <f aca="false">D67-E67+F67+J67</f>
        <v>98</v>
      </c>
      <c r="H67" s="26" t="n">
        <v>0</v>
      </c>
      <c r="I67" s="27" t="n">
        <f aca="false">G67*H67</f>
        <v>0</v>
      </c>
      <c r="J67" s="28" t="n">
        <v>0</v>
      </c>
    </row>
    <row r="68" customFormat="false" ht="15" hidden="false" customHeight="true" outlineLevel="0" collapsed="false">
      <c r="A68" s="21" t="n">
        <f aca="false">IF(B68="","",ROW()-1)</f>
        <v>67</v>
      </c>
      <c r="B68" s="29" t="s">
        <v>97</v>
      </c>
      <c r="C68" s="23" t="str">
        <f aca="false">IF(B68="","","200"&amp;TEXT(ROW()-1,"0000000000"))</f>
        <v>2000000000067</v>
      </c>
      <c r="D68" s="24" t="n">
        <v>20</v>
      </c>
      <c r="E68" s="25" t="n">
        <f aca="false">IF($B68="",0,SUMIF(المبيعات!$D$2:$D$401,$C68,المبيعات!$E$2:$E$401))</f>
        <v>0</v>
      </c>
      <c r="F68" s="25" t="n">
        <f aca="false">IF($B68="",0,SUMIF(المرتجعات!$D$2:$D$301,$C68,المرتجعات!$E$2:$E$301))</f>
        <v>0</v>
      </c>
      <c r="G68" s="21" t="n">
        <f aca="false">D68-E68+F68+J68</f>
        <v>20</v>
      </c>
      <c r="H68" s="26" t="n">
        <v>320</v>
      </c>
      <c r="I68" s="27" t="n">
        <f aca="false">G68*H68</f>
        <v>6400</v>
      </c>
      <c r="J68" s="28" t="n">
        <v>0</v>
      </c>
    </row>
    <row r="69" customFormat="false" ht="15" hidden="false" customHeight="true" outlineLevel="0" collapsed="false">
      <c r="A69" s="21" t="n">
        <f aca="false">IF(B69="","",ROW()-1)</f>
        <v>68</v>
      </c>
      <c r="B69" s="29" t="s">
        <v>98</v>
      </c>
      <c r="C69" s="23" t="str">
        <f aca="false">IF(B69="","","200"&amp;TEXT(ROW()-1,"0000000000"))</f>
        <v>2000000000068</v>
      </c>
      <c r="D69" s="24" t="n">
        <v>2</v>
      </c>
      <c r="E69" s="25" t="n">
        <f aca="false">IF($B69="",0,SUMIF(المبيعات!$D$2:$D$401,$C69,المبيعات!$E$2:$E$401))</f>
        <v>0</v>
      </c>
      <c r="F69" s="25" t="n">
        <f aca="false">IF($B69="",0,SUMIF(المرتجعات!$D$2:$D$301,$C69,المرتجعات!$E$2:$E$301))</f>
        <v>0</v>
      </c>
      <c r="G69" s="21" t="n">
        <f aca="false">D69-E69+F69+J69</f>
        <v>2</v>
      </c>
      <c r="H69" s="26" t="n">
        <v>415</v>
      </c>
      <c r="I69" s="27" t="n">
        <f aca="false">G69*H69</f>
        <v>830</v>
      </c>
      <c r="J69" s="28" t="n">
        <v>0</v>
      </c>
    </row>
    <row r="70" customFormat="false" ht="15" hidden="false" customHeight="true" outlineLevel="0" collapsed="false">
      <c r="A70" s="21" t="n">
        <f aca="false">IF(B70="","",ROW()-1)</f>
        <v>69</v>
      </c>
      <c r="B70" s="29" t="s">
        <v>99</v>
      </c>
      <c r="C70" s="23" t="str">
        <f aca="false">IF(B70="","","200"&amp;TEXT(ROW()-1,"0000000000"))</f>
        <v>2000000000069</v>
      </c>
      <c r="D70" s="24" t="n">
        <v>2</v>
      </c>
      <c r="E70" s="25" t="n">
        <f aca="false">IF($B70="",0,SUMIF(المبيعات!$D$2:$D$401,$C70,المبيعات!$E$2:$E$401))</f>
        <v>0</v>
      </c>
      <c r="F70" s="25" t="n">
        <f aca="false">IF($B70="",0,SUMIF(المرتجعات!$D$2:$D$301,$C70,المرتجعات!$E$2:$E$301))</f>
        <v>0</v>
      </c>
      <c r="G70" s="21" t="n">
        <f aca="false">D70-E70+F70+J70</f>
        <v>2</v>
      </c>
      <c r="H70" s="26" t="n">
        <v>395</v>
      </c>
      <c r="I70" s="27" t="n">
        <f aca="false">G70*H70</f>
        <v>790</v>
      </c>
      <c r="J70" s="28" t="n">
        <v>0</v>
      </c>
    </row>
    <row r="71" customFormat="false" ht="15" hidden="false" customHeight="true" outlineLevel="0" collapsed="false">
      <c r="A71" s="21" t="n">
        <f aca="false">IF(B71="","",ROW()-1)</f>
        <v>70</v>
      </c>
      <c r="B71" s="29" t="s">
        <v>100</v>
      </c>
      <c r="C71" s="23" t="str">
        <f aca="false">IF(B71="","","200"&amp;TEXT(ROW()-1,"0000000000"))</f>
        <v>2000000000070</v>
      </c>
      <c r="D71" s="24" t="n">
        <v>4</v>
      </c>
      <c r="E71" s="25" t="n">
        <f aca="false">IF($B71="",0,SUMIF(المبيعات!$D$2:$D$401,$C71,المبيعات!$E$2:$E$401))</f>
        <v>0</v>
      </c>
      <c r="F71" s="25" t="n">
        <f aca="false">IF($B71="",0,SUMIF(المرتجعات!$D$2:$D$301,$C71,المرتجعات!$E$2:$E$301))</f>
        <v>0</v>
      </c>
      <c r="G71" s="21" t="n">
        <f aca="false">D71-E71+F71+J71</f>
        <v>4</v>
      </c>
      <c r="H71" s="26" t="n">
        <v>490</v>
      </c>
      <c r="I71" s="27" t="n">
        <f aca="false">G71*H71</f>
        <v>1960</v>
      </c>
      <c r="J71" s="28" t="n">
        <v>0</v>
      </c>
    </row>
    <row r="72" customFormat="false" ht="15" hidden="false" customHeight="true" outlineLevel="0" collapsed="false">
      <c r="A72" s="21" t="n">
        <f aca="false">IF(B72="","",ROW()-1)</f>
        <v>71</v>
      </c>
      <c r="B72" s="29" t="s">
        <v>101</v>
      </c>
      <c r="C72" s="23" t="str">
        <f aca="false">IF(B72="","","200"&amp;TEXT(ROW()-1,"0000000000"))</f>
        <v>2000000000071</v>
      </c>
      <c r="D72" s="24" t="n">
        <v>2</v>
      </c>
      <c r="E72" s="25" t="n">
        <f aca="false">IF($B72="",0,SUMIF(المبيعات!$D$2:$D$401,$C72,المبيعات!$E$2:$E$401))</f>
        <v>0</v>
      </c>
      <c r="F72" s="25" t="n">
        <f aca="false">IF($B72="",0,SUMIF(المرتجعات!$D$2:$D$301,$C72,المرتجعات!$E$2:$E$301))</f>
        <v>0</v>
      </c>
      <c r="G72" s="21" t="n">
        <f aca="false">D72-E72+F72+J72</f>
        <v>2</v>
      </c>
      <c r="H72" s="26" t="n">
        <v>400</v>
      </c>
      <c r="I72" s="27" t="n">
        <f aca="false">G72*H72</f>
        <v>800</v>
      </c>
      <c r="J72" s="28" t="n">
        <v>0</v>
      </c>
    </row>
    <row r="73" customFormat="false" ht="15" hidden="false" customHeight="true" outlineLevel="0" collapsed="false">
      <c r="A73" s="21" t="n">
        <f aca="false">IF(B73="","",ROW()-1)</f>
        <v>72</v>
      </c>
      <c r="B73" s="29" t="s">
        <v>102</v>
      </c>
      <c r="C73" s="23" t="str">
        <f aca="false">IF(B73="","","200"&amp;TEXT(ROW()-1,"0000000000"))</f>
        <v>2000000000072</v>
      </c>
      <c r="D73" s="24" t="n">
        <v>7</v>
      </c>
      <c r="E73" s="25" t="n">
        <f aca="false">IF($B73="",0,SUMIF(المبيعات!$D$2:$D$401,$C73,المبيعات!$E$2:$E$401))</f>
        <v>0</v>
      </c>
      <c r="F73" s="25" t="n">
        <f aca="false">IF($B73="",0,SUMIF(المرتجعات!$D$2:$D$301,$C73,المرتجعات!$E$2:$E$301))</f>
        <v>0</v>
      </c>
      <c r="G73" s="21" t="n">
        <f aca="false">D73-E73+F73+J73</f>
        <v>7</v>
      </c>
      <c r="H73" s="26" t="n">
        <v>460</v>
      </c>
      <c r="I73" s="27" t="n">
        <f aca="false">G73*H73</f>
        <v>3220</v>
      </c>
      <c r="J73" s="28" t="n">
        <v>0</v>
      </c>
    </row>
    <row r="74" customFormat="false" ht="15" hidden="false" customHeight="true" outlineLevel="0" collapsed="false">
      <c r="A74" s="21" t="n">
        <f aca="false">IF(B74="","",ROW()-1)</f>
        <v>73</v>
      </c>
      <c r="B74" s="29" t="s">
        <v>103</v>
      </c>
      <c r="C74" s="23" t="str">
        <f aca="false">IF(B74="","","200"&amp;TEXT(ROW()-1,"0000000000"))</f>
        <v>2000000000073</v>
      </c>
      <c r="D74" s="24" t="n">
        <v>6</v>
      </c>
      <c r="E74" s="25" t="n">
        <f aca="false">IF($B74="",0,SUMIF(المبيعات!$D$2:$D$401,$C74,المبيعات!$E$2:$E$401))</f>
        <v>0</v>
      </c>
      <c r="F74" s="25" t="n">
        <f aca="false">IF($B74="",0,SUMIF(المرتجعات!$D$2:$D$301,$C74,المرتجعات!$E$2:$E$301))</f>
        <v>0</v>
      </c>
      <c r="G74" s="21" t="n">
        <f aca="false">D74-E74+F74+J74</f>
        <v>6</v>
      </c>
      <c r="H74" s="26" t="n">
        <v>390</v>
      </c>
      <c r="I74" s="27" t="n">
        <f aca="false">G74*H74</f>
        <v>2340</v>
      </c>
      <c r="J74" s="28" t="n">
        <v>0</v>
      </c>
    </row>
    <row r="75" customFormat="false" ht="15" hidden="false" customHeight="true" outlineLevel="0" collapsed="false">
      <c r="A75" s="21" t="n">
        <f aca="false">IF(B75="","",ROW()-1)</f>
        <v>74</v>
      </c>
      <c r="B75" s="29" t="s">
        <v>104</v>
      </c>
      <c r="C75" s="23" t="str">
        <f aca="false">IF(B75="","","200"&amp;TEXT(ROW()-1,"0000000000"))</f>
        <v>2000000000074</v>
      </c>
      <c r="D75" s="24" t="n">
        <v>4</v>
      </c>
      <c r="E75" s="25" t="n">
        <f aca="false">IF($B75="",0,SUMIF(المبيعات!$D$2:$D$401,$C75,المبيعات!$E$2:$E$401))</f>
        <v>0</v>
      </c>
      <c r="F75" s="25" t="n">
        <f aca="false">IF($B75="",0,SUMIF(المرتجعات!$D$2:$D$301,$C75,المرتجعات!$E$2:$E$301))</f>
        <v>0</v>
      </c>
      <c r="G75" s="21" t="n">
        <f aca="false">D75-E75+F75+J75</f>
        <v>4</v>
      </c>
      <c r="H75" s="26" t="n">
        <v>360</v>
      </c>
      <c r="I75" s="27" t="n">
        <f aca="false">G75*H75</f>
        <v>1440</v>
      </c>
      <c r="J75" s="28" t="n">
        <v>0</v>
      </c>
    </row>
    <row r="76" customFormat="false" ht="15" hidden="false" customHeight="true" outlineLevel="0" collapsed="false">
      <c r="A76" s="21" t="n">
        <f aca="false">IF(B76="","",ROW()-1)</f>
        <v>75</v>
      </c>
      <c r="B76" s="29" t="s">
        <v>105</v>
      </c>
      <c r="C76" s="23" t="str">
        <f aca="false">IF(B76="","","200"&amp;TEXT(ROW()-1,"0000000000"))</f>
        <v>2000000000075</v>
      </c>
      <c r="D76" s="24" t="n">
        <v>6</v>
      </c>
      <c r="E76" s="25" t="n">
        <f aca="false">IF($B76="",0,SUMIF(المبيعات!$D$2:$D$401,$C76,المبيعات!$E$2:$E$401))</f>
        <v>0</v>
      </c>
      <c r="F76" s="25" t="n">
        <f aca="false">IF($B76="",0,SUMIF(المرتجعات!$D$2:$D$301,$C76,المرتجعات!$E$2:$E$301))</f>
        <v>0</v>
      </c>
      <c r="G76" s="21" t="n">
        <f aca="false">D76-E76+F76+J76</f>
        <v>6</v>
      </c>
      <c r="H76" s="26" t="n">
        <v>450</v>
      </c>
      <c r="I76" s="27" t="n">
        <f aca="false">G76*H76</f>
        <v>2700</v>
      </c>
      <c r="J76" s="28" t="n">
        <v>0</v>
      </c>
    </row>
    <row r="77" customFormat="false" ht="15" hidden="false" customHeight="true" outlineLevel="0" collapsed="false">
      <c r="A77" s="21" t="n">
        <f aca="false">IF(B77="","",ROW()-1)</f>
        <v>76</v>
      </c>
      <c r="B77" s="22" t="s">
        <v>106</v>
      </c>
      <c r="C77" s="23" t="str">
        <f aca="false">IF(B77="","","200"&amp;TEXT(ROW()-1,"0000000000"))</f>
        <v>2000000000076</v>
      </c>
      <c r="D77" s="24" t="n">
        <v>0</v>
      </c>
      <c r="E77" s="25" t="n">
        <f aca="false">IF($B77="",0,SUMIF(المبيعات!$D$2:$D$401,$C77,المبيعات!$E$2:$E$401))</f>
        <v>0</v>
      </c>
      <c r="F77" s="25" t="n">
        <f aca="false">IF($B77="",0,SUMIF(المرتجعات!$D$2:$D$301,$C77,المرتجعات!$E$2:$E$301))</f>
        <v>0</v>
      </c>
      <c r="G77" s="21" t="n">
        <f aca="false">D77-E77+F77+J77</f>
        <v>0</v>
      </c>
      <c r="H77" s="26" t="n">
        <v>200</v>
      </c>
      <c r="I77" s="27" t="n">
        <f aca="false">G77*H77</f>
        <v>0</v>
      </c>
      <c r="J77" s="28" t="n">
        <v>0</v>
      </c>
    </row>
    <row r="78" customFormat="false" ht="15" hidden="false" customHeight="true" outlineLevel="0" collapsed="false">
      <c r="A78" s="21" t="n">
        <f aca="false">IF(B78="","",ROW()-1)</f>
        <v>77</v>
      </c>
      <c r="B78" s="22" t="s">
        <v>107</v>
      </c>
      <c r="C78" s="23" t="str">
        <f aca="false">IF(B78="","","200"&amp;TEXT(ROW()-1,"0000000000"))</f>
        <v>2000000000077</v>
      </c>
      <c r="D78" s="24" t="n">
        <v>0</v>
      </c>
      <c r="E78" s="25" t="n">
        <f aca="false">IF($B78="",0,SUMIF(المبيعات!$D$2:$D$401,$C78,المبيعات!$E$2:$E$401))</f>
        <v>0</v>
      </c>
      <c r="F78" s="25" t="n">
        <f aca="false">IF($B78="",0,SUMIF(المرتجعات!$D$2:$D$301,$C78,المرتجعات!$E$2:$E$301))</f>
        <v>0</v>
      </c>
      <c r="G78" s="21" t="n">
        <f aca="false">D78-E78+F78+J78</f>
        <v>0</v>
      </c>
      <c r="H78" s="26" t="n">
        <v>185</v>
      </c>
      <c r="I78" s="27" t="n">
        <f aca="false">G78*H78</f>
        <v>0</v>
      </c>
      <c r="J78" s="28" t="n">
        <v>0</v>
      </c>
    </row>
    <row r="79" customFormat="false" ht="15" hidden="false" customHeight="true" outlineLevel="0" collapsed="false">
      <c r="A79" s="21" t="n">
        <f aca="false">IF(B79="","",ROW()-1)</f>
        <v>78</v>
      </c>
      <c r="B79" s="22" t="s">
        <v>108</v>
      </c>
      <c r="C79" s="23" t="str">
        <f aca="false">IF(B79="","","200"&amp;TEXT(ROW()-1,"0000000000"))</f>
        <v>2000000000078</v>
      </c>
      <c r="D79" s="24" t="n">
        <v>1</v>
      </c>
      <c r="E79" s="25" t="n">
        <f aca="false">IF($B79="",0,SUMIF(المبيعات!$D$2:$D$401,$C79,المبيعات!$E$2:$E$401))</f>
        <v>0</v>
      </c>
      <c r="F79" s="25" t="n">
        <f aca="false">IF($B79="",0,SUMIF(المرتجعات!$D$2:$D$301,$C79,المرتجعات!$E$2:$E$301))</f>
        <v>0</v>
      </c>
      <c r="G79" s="21" t="n">
        <f aca="false">D79-E79+F79+J79</f>
        <v>1</v>
      </c>
      <c r="H79" s="26" t="n">
        <v>185</v>
      </c>
      <c r="I79" s="27" t="n">
        <f aca="false">G79*H79</f>
        <v>185</v>
      </c>
      <c r="J79" s="28" t="n">
        <v>0</v>
      </c>
    </row>
    <row r="80" customFormat="false" ht="15" hidden="false" customHeight="true" outlineLevel="0" collapsed="false">
      <c r="A80" s="21" t="str">
        <f aca="false">IF(B80="","",ROW()-1)</f>
        <v/>
      </c>
      <c r="B80" s="22"/>
      <c r="C80" s="23" t="str">
        <f aca="false">IF(B80="","","200"&amp;TEXT(ROW()-1,"0000000000"))</f>
        <v/>
      </c>
      <c r="D80" s="24"/>
      <c r="E80" s="25" t="n">
        <f aca="false">IF($B80="",0,SUMIF(المبيعات!$D$2:$D$401,$C80,المبيعات!$E$2:$E$401))</f>
        <v>0</v>
      </c>
      <c r="F80" s="25" t="n">
        <f aca="false">IF($B80="",0,SUMIF(المرتجعات!$D$2:$D$301,$C80,المرتجعات!$E$2:$E$301))</f>
        <v>0</v>
      </c>
      <c r="G80" s="21" t="n">
        <f aca="false">D80-E80+F80</f>
        <v>0</v>
      </c>
      <c r="H80" s="26"/>
      <c r="I80" s="27" t="n">
        <f aca="false">G80*H80</f>
        <v>0</v>
      </c>
    </row>
    <row r="81" customFormat="false" ht="15" hidden="false" customHeight="true" outlineLevel="0" collapsed="false">
      <c r="A81" s="21" t="str">
        <f aca="false">IF(B81="","",ROW()-1)</f>
        <v/>
      </c>
      <c r="B81" s="22"/>
      <c r="C81" s="23" t="str">
        <f aca="false">IF(B81="","","200"&amp;TEXT(ROW()-1,"0000000000"))</f>
        <v/>
      </c>
      <c r="D81" s="24"/>
      <c r="E81" s="25" t="n">
        <f aca="false">IF($B81="",0,SUMIF(المبيعات!$D$2:$D$401,$C81,المبيعات!$E$2:$E$401))</f>
        <v>0</v>
      </c>
      <c r="F81" s="25" t="n">
        <f aca="false">IF($B81="",0,SUMIF(المرتجعات!$D$2:$D$301,$C81,المرتجعات!$E$2:$E$301))</f>
        <v>0</v>
      </c>
      <c r="G81" s="21" t="n">
        <f aca="false">D81-E81+F81</f>
        <v>0</v>
      </c>
      <c r="H81" s="26"/>
      <c r="I81" s="27" t="n">
        <f aca="false">G81*H81</f>
        <v>0</v>
      </c>
    </row>
    <row r="82" customFormat="false" ht="15" hidden="false" customHeight="true" outlineLevel="0" collapsed="false">
      <c r="A82" s="21" t="str">
        <f aca="false">IF(B82="","",ROW()-1)</f>
        <v/>
      </c>
      <c r="B82" s="22"/>
      <c r="C82" s="23" t="str">
        <f aca="false">IF(B82="","","200"&amp;TEXT(ROW()-1,"0000000000"))</f>
        <v/>
      </c>
      <c r="D82" s="24"/>
      <c r="E82" s="25" t="n">
        <f aca="false">IF($B82="",0,SUMIF(المبيعات!$D$2:$D$401,$C82,المبيعات!$E$2:$E$401))</f>
        <v>0</v>
      </c>
      <c r="F82" s="25" t="n">
        <f aca="false">IF($B82="",0,SUMIF(المرتجعات!$D$2:$D$301,$C82,المرتجعات!$E$2:$E$301))</f>
        <v>0</v>
      </c>
      <c r="G82" s="21" t="n">
        <f aca="false">D82-E82+F82</f>
        <v>0</v>
      </c>
      <c r="H82" s="26"/>
      <c r="I82" s="27" t="n">
        <f aca="false">G82*H82</f>
        <v>0</v>
      </c>
    </row>
    <row r="83" customFormat="false" ht="15" hidden="false" customHeight="true" outlineLevel="0" collapsed="false">
      <c r="A83" s="21" t="str">
        <f aca="false">IF(B83="","",ROW()-1)</f>
        <v/>
      </c>
      <c r="B83" s="22"/>
      <c r="C83" s="23" t="str">
        <f aca="false">IF(B83="","","200"&amp;TEXT(ROW()-1,"0000000000"))</f>
        <v/>
      </c>
      <c r="D83" s="24"/>
      <c r="E83" s="25" t="n">
        <f aca="false">IF($B83="",0,SUMIF(المبيعات!$D$2:$D$401,$C83,المبيعات!$E$2:$E$401))</f>
        <v>0</v>
      </c>
      <c r="F83" s="25" t="n">
        <f aca="false">IF($B83="",0,SUMIF(المرتجعات!$D$2:$D$301,$C83,المرتجعات!$E$2:$E$301))</f>
        <v>0</v>
      </c>
      <c r="G83" s="21" t="n">
        <f aca="false">D83-E83+F83</f>
        <v>0</v>
      </c>
      <c r="H83" s="26"/>
      <c r="I83" s="27" t="n">
        <f aca="false">G83*H83</f>
        <v>0</v>
      </c>
    </row>
    <row r="84" customFormat="false" ht="15" hidden="false" customHeight="true" outlineLevel="0" collapsed="false">
      <c r="A84" s="21" t="str">
        <f aca="false">IF(B84="","",ROW()-1)</f>
        <v/>
      </c>
      <c r="B84" s="22"/>
      <c r="C84" s="23" t="str">
        <f aca="false">IF(B84="","","200"&amp;TEXT(ROW()-1,"0000000000"))</f>
        <v/>
      </c>
      <c r="D84" s="24"/>
      <c r="E84" s="25" t="n">
        <f aca="false">IF($B84="",0,SUMIF(المبيعات!$D$2:$D$401,$C84,المبيعات!$E$2:$E$401))</f>
        <v>0</v>
      </c>
      <c r="F84" s="25" t="n">
        <f aca="false">IF($B84="",0,SUMIF(المرتجعات!$D$2:$D$301,$C84,المرتجعات!$E$2:$E$301))</f>
        <v>0</v>
      </c>
      <c r="G84" s="21" t="n">
        <f aca="false">D84-E84+F84</f>
        <v>0</v>
      </c>
      <c r="H84" s="26"/>
      <c r="I84" s="27" t="n">
        <f aca="false">G84*H84</f>
        <v>0</v>
      </c>
    </row>
    <row r="85" customFormat="false" ht="15" hidden="false" customHeight="true" outlineLevel="0" collapsed="false">
      <c r="A85" s="21" t="str">
        <f aca="false">IF(B85="","",ROW()-1)</f>
        <v/>
      </c>
      <c r="B85" s="22"/>
      <c r="C85" s="23" t="str">
        <f aca="false">IF(B85="","","200"&amp;TEXT(ROW()-1,"0000000000"))</f>
        <v/>
      </c>
      <c r="D85" s="24"/>
      <c r="E85" s="25" t="n">
        <f aca="false">IF($B85="",0,SUMIF(المبيعات!$D$2:$D$401,$C85,المبيعات!$E$2:$E$401))</f>
        <v>0</v>
      </c>
      <c r="F85" s="25" t="n">
        <f aca="false">IF($B85="",0,SUMIF(المرتجعات!$D$2:$D$301,$C85,المرتجعات!$E$2:$E$301))</f>
        <v>0</v>
      </c>
      <c r="G85" s="21" t="n">
        <f aca="false">D85-E85+F85</f>
        <v>0</v>
      </c>
      <c r="H85" s="26"/>
      <c r="I85" s="27" t="n">
        <f aca="false">G85*H85</f>
        <v>0</v>
      </c>
    </row>
    <row r="86" customFormat="false" ht="15" hidden="false" customHeight="true" outlineLevel="0" collapsed="false">
      <c r="A86" s="21" t="str">
        <f aca="false">IF(B86="","",ROW()-1)</f>
        <v/>
      </c>
      <c r="B86" s="22"/>
      <c r="C86" s="23" t="str">
        <f aca="false">IF(B86="","","200"&amp;TEXT(ROW()-1,"0000000000"))</f>
        <v/>
      </c>
      <c r="D86" s="24"/>
      <c r="E86" s="25" t="n">
        <f aca="false">IF($B86="",0,SUMIF(المبيعات!$D$2:$D$401,$C86,المبيعات!$E$2:$E$401))</f>
        <v>0</v>
      </c>
      <c r="F86" s="25" t="n">
        <f aca="false">IF($B86="",0,SUMIF(المرتجعات!$D$2:$D$301,$C86,المرتجعات!$E$2:$E$301))</f>
        <v>0</v>
      </c>
      <c r="G86" s="21" t="n">
        <f aca="false">D86-E86+F86</f>
        <v>0</v>
      </c>
      <c r="H86" s="26"/>
      <c r="I86" s="27" t="n">
        <f aca="false">G86*H86</f>
        <v>0</v>
      </c>
    </row>
    <row r="87" customFormat="false" ht="15" hidden="false" customHeight="true" outlineLevel="0" collapsed="false">
      <c r="A87" s="21" t="str">
        <f aca="false">IF(B87="","",ROW()-1)</f>
        <v/>
      </c>
      <c r="B87" s="22"/>
      <c r="C87" s="23" t="str">
        <f aca="false">IF(B87="","","200"&amp;TEXT(ROW()-1,"0000000000"))</f>
        <v/>
      </c>
      <c r="D87" s="24"/>
      <c r="E87" s="25" t="n">
        <f aca="false">IF($B87="",0,SUMIF(المبيعات!$D$2:$D$401,$C87,المبيعات!$E$2:$E$401))</f>
        <v>0</v>
      </c>
      <c r="F87" s="25" t="n">
        <f aca="false">IF($B87="",0,SUMIF(المرتجعات!$D$2:$D$301,$C87,المرتجعات!$E$2:$E$301))</f>
        <v>0</v>
      </c>
      <c r="G87" s="21" t="n">
        <f aca="false">D87-E87+F87</f>
        <v>0</v>
      </c>
      <c r="H87" s="26"/>
      <c r="I87" s="27" t="n">
        <f aca="false">G87*H87</f>
        <v>0</v>
      </c>
    </row>
    <row r="88" customFormat="false" ht="15" hidden="false" customHeight="true" outlineLevel="0" collapsed="false">
      <c r="A88" s="21" t="str">
        <f aca="false">IF(B88="","",ROW()-1)</f>
        <v/>
      </c>
      <c r="B88" s="22"/>
      <c r="C88" s="23" t="str">
        <f aca="false">IF(B88="","","200"&amp;TEXT(ROW()-1,"0000000000"))</f>
        <v/>
      </c>
      <c r="D88" s="24"/>
      <c r="E88" s="25" t="n">
        <f aca="false">IF($B88="",0,SUMIF(المبيعات!$D$2:$D$401,$C88,المبيعات!$E$2:$E$401))</f>
        <v>0</v>
      </c>
      <c r="F88" s="25" t="n">
        <f aca="false">IF($B88="",0,SUMIF(المرتجعات!$D$2:$D$301,$C88,المرتجعات!$E$2:$E$301))</f>
        <v>0</v>
      </c>
      <c r="G88" s="21" t="n">
        <f aca="false">D88-E88+F88</f>
        <v>0</v>
      </c>
      <c r="H88" s="26"/>
      <c r="I88" s="27" t="n">
        <f aca="false">G88*H88</f>
        <v>0</v>
      </c>
    </row>
    <row r="89" customFormat="false" ht="15" hidden="false" customHeight="true" outlineLevel="0" collapsed="false">
      <c r="A89" s="21" t="str">
        <f aca="false">IF(B89="","",ROW()-1)</f>
        <v/>
      </c>
      <c r="B89" s="22"/>
      <c r="C89" s="23" t="str">
        <f aca="false">IF(B89="","","200"&amp;TEXT(ROW()-1,"0000000000"))</f>
        <v/>
      </c>
      <c r="D89" s="24"/>
      <c r="E89" s="25" t="n">
        <f aca="false">IF($B89="",0,SUMIF(المبيعات!$D$2:$D$401,$C89,المبيعات!$E$2:$E$401))</f>
        <v>0</v>
      </c>
      <c r="F89" s="25" t="n">
        <f aca="false">IF($B89="",0,SUMIF(المرتجعات!$D$2:$D$301,$C89,المرتجعات!$E$2:$E$301))</f>
        <v>0</v>
      </c>
      <c r="G89" s="21" t="n">
        <f aca="false">D89-E89+F89</f>
        <v>0</v>
      </c>
      <c r="H89" s="26"/>
      <c r="I89" s="27" t="n">
        <f aca="false">G89*H89</f>
        <v>0</v>
      </c>
    </row>
    <row r="90" customFormat="false" ht="15" hidden="false" customHeight="true" outlineLevel="0" collapsed="false">
      <c r="A90" s="21" t="str">
        <f aca="false">IF(B90="","",ROW()-1)</f>
        <v/>
      </c>
      <c r="B90" s="22"/>
      <c r="C90" s="23" t="str">
        <f aca="false">IF(B90="","","200"&amp;TEXT(ROW()-1,"0000000000"))</f>
        <v/>
      </c>
      <c r="D90" s="24"/>
      <c r="E90" s="25" t="n">
        <f aca="false">IF($B90="",0,SUMIF(المبيعات!$D$2:$D$401,$C90,المبيعات!$E$2:$E$401))</f>
        <v>0</v>
      </c>
      <c r="F90" s="25" t="n">
        <f aca="false">IF($B90="",0,SUMIF(المرتجعات!$D$2:$D$301,$C90,المرتجعات!$E$2:$E$301))</f>
        <v>0</v>
      </c>
      <c r="G90" s="21" t="n">
        <f aca="false">D90-E90+F90</f>
        <v>0</v>
      </c>
      <c r="H90" s="26"/>
      <c r="I90" s="27" t="n">
        <f aca="false">G90*H90</f>
        <v>0</v>
      </c>
    </row>
    <row r="91" customFormat="false" ht="15" hidden="false" customHeight="true" outlineLevel="0" collapsed="false">
      <c r="A91" s="21" t="str">
        <f aca="false">IF(B91="","",ROW()-1)</f>
        <v/>
      </c>
      <c r="B91" s="22"/>
      <c r="C91" s="23" t="str">
        <f aca="false">IF(B91="","","200"&amp;TEXT(ROW()-1,"0000000000"))</f>
        <v/>
      </c>
      <c r="D91" s="24"/>
      <c r="E91" s="25" t="n">
        <f aca="false">IF($B91="",0,SUMIF(المبيعات!$D$2:$D$401,$C91,المبيعات!$E$2:$E$401))</f>
        <v>0</v>
      </c>
      <c r="F91" s="25" t="n">
        <f aca="false">IF($B91="",0,SUMIF(المرتجعات!$D$2:$D$301,$C91,المرتجعات!$E$2:$E$301))</f>
        <v>0</v>
      </c>
      <c r="G91" s="21" t="n">
        <f aca="false">D91-E91+F91</f>
        <v>0</v>
      </c>
      <c r="H91" s="26"/>
      <c r="I91" s="27" t="n">
        <f aca="false">G91*H91</f>
        <v>0</v>
      </c>
    </row>
    <row r="92" customFormat="false" ht="15" hidden="false" customHeight="true" outlineLevel="0" collapsed="false">
      <c r="A92" s="21" t="str">
        <f aca="false">IF(B92="","",ROW()-1)</f>
        <v/>
      </c>
      <c r="B92" s="22"/>
      <c r="C92" s="23" t="str">
        <f aca="false">IF(B92="","","200"&amp;TEXT(ROW()-1,"0000000000"))</f>
        <v/>
      </c>
      <c r="D92" s="24"/>
      <c r="E92" s="25" t="n">
        <f aca="false">IF($B92="",0,SUMIF(المبيعات!$D$2:$D$401,$C92,المبيعات!$E$2:$E$401))</f>
        <v>0</v>
      </c>
      <c r="F92" s="25" t="n">
        <f aca="false">IF($B92="",0,SUMIF(المرتجعات!$D$2:$D$301,$C92,المرتجعات!$E$2:$E$301))</f>
        <v>0</v>
      </c>
      <c r="G92" s="21" t="n">
        <f aca="false">D92-E92+F92</f>
        <v>0</v>
      </c>
      <c r="H92" s="26"/>
      <c r="I92" s="27" t="n">
        <f aca="false">G92*H92</f>
        <v>0</v>
      </c>
    </row>
    <row r="93" customFormat="false" ht="15" hidden="false" customHeight="true" outlineLevel="0" collapsed="false">
      <c r="A93" s="21" t="str">
        <f aca="false">IF(B93="","",ROW()-1)</f>
        <v/>
      </c>
      <c r="B93" s="22"/>
      <c r="C93" s="23" t="str">
        <f aca="false">IF(B93="","","200"&amp;TEXT(ROW()-1,"0000000000"))</f>
        <v/>
      </c>
      <c r="D93" s="24"/>
      <c r="E93" s="25" t="n">
        <f aca="false">IF($B93="",0,SUMIF(المبيعات!$D$2:$D$401,$C93,المبيعات!$E$2:$E$401))</f>
        <v>0</v>
      </c>
      <c r="F93" s="25" t="n">
        <f aca="false">IF($B93="",0,SUMIF(المرتجعات!$D$2:$D$301,$C93,المرتجعات!$E$2:$E$301))</f>
        <v>0</v>
      </c>
      <c r="G93" s="21" t="n">
        <f aca="false">D93-E93+F93</f>
        <v>0</v>
      </c>
      <c r="H93" s="26"/>
      <c r="I93" s="27" t="n">
        <f aca="false">G93*H93</f>
        <v>0</v>
      </c>
    </row>
    <row r="94" customFormat="false" ht="15" hidden="false" customHeight="true" outlineLevel="0" collapsed="false">
      <c r="A94" s="21" t="str">
        <f aca="false">IF(B94="","",ROW()-1)</f>
        <v/>
      </c>
      <c r="B94" s="22"/>
      <c r="C94" s="23" t="str">
        <f aca="false">IF(B94="","","200"&amp;TEXT(ROW()-1,"0000000000"))</f>
        <v/>
      </c>
      <c r="D94" s="24"/>
      <c r="E94" s="25" t="n">
        <f aca="false">IF($B94="",0,SUMIF(المبيعات!$D$2:$D$401,$C94,المبيعات!$E$2:$E$401))</f>
        <v>0</v>
      </c>
      <c r="F94" s="25" t="n">
        <f aca="false">IF($B94="",0,SUMIF(المرتجعات!$D$2:$D$301,$C94,المرتجعات!$E$2:$E$301))</f>
        <v>0</v>
      </c>
      <c r="G94" s="21" t="n">
        <f aca="false">D94-E94+F94</f>
        <v>0</v>
      </c>
      <c r="H94" s="26"/>
      <c r="I94" s="27" t="n">
        <f aca="false">G94*H94</f>
        <v>0</v>
      </c>
    </row>
    <row r="95" customFormat="false" ht="15" hidden="false" customHeight="true" outlineLevel="0" collapsed="false">
      <c r="A95" s="21" t="str">
        <f aca="false">IF(B95="","",ROW()-1)</f>
        <v/>
      </c>
      <c r="B95" s="22"/>
      <c r="C95" s="23" t="str">
        <f aca="false">IF(B95="","","200"&amp;TEXT(ROW()-1,"0000000000"))</f>
        <v/>
      </c>
      <c r="D95" s="24"/>
      <c r="E95" s="25" t="n">
        <f aca="false">IF($B95="",0,SUMIF(المبيعات!$D$2:$D$401,$C95,المبيعات!$E$2:$E$401))</f>
        <v>0</v>
      </c>
      <c r="F95" s="25" t="n">
        <f aca="false">IF($B95="",0,SUMIF(المرتجعات!$D$2:$D$301,$C95,المرتجعات!$E$2:$E$301))</f>
        <v>0</v>
      </c>
      <c r="G95" s="21" t="n">
        <f aca="false">D95-E95+F95</f>
        <v>0</v>
      </c>
      <c r="H95" s="26"/>
      <c r="I95" s="27" t="n">
        <f aca="false">G95*H95</f>
        <v>0</v>
      </c>
    </row>
    <row r="96" customFormat="false" ht="15" hidden="false" customHeight="true" outlineLevel="0" collapsed="false">
      <c r="A96" s="21" t="str">
        <f aca="false">IF(B96="","",ROW()-1)</f>
        <v/>
      </c>
      <c r="B96" s="22"/>
      <c r="C96" s="23" t="str">
        <f aca="false">IF(B96="","","200"&amp;TEXT(ROW()-1,"0000000000"))</f>
        <v/>
      </c>
      <c r="D96" s="24"/>
      <c r="E96" s="25" t="n">
        <f aca="false">IF($B96="",0,SUMIF(المبيعات!$D$2:$D$401,$C96,المبيعات!$E$2:$E$401))</f>
        <v>0</v>
      </c>
      <c r="F96" s="25" t="n">
        <f aca="false">IF($B96="",0,SUMIF(المرتجعات!$D$2:$D$301,$C96,المرتجعات!$E$2:$E$301))</f>
        <v>0</v>
      </c>
      <c r="G96" s="21" t="n">
        <f aca="false">D96-E96+F96</f>
        <v>0</v>
      </c>
      <c r="H96" s="26"/>
      <c r="I96" s="27" t="n">
        <f aca="false">G96*H96</f>
        <v>0</v>
      </c>
    </row>
    <row r="97" customFormat="false" ht="15" hidden="false" customHeight="true" outlineLevel="0" collapsed="false">
      <c r="A97" s="21" t="str">
        <f aca="false">IF(B97="","",ROW()-1)</f>
        <v/>
      </c>
      <c r="B97" s="22"/>
      <c r="C97" s="23" t="str">
        <f aca="false">IF(B97="","","200"&amp;TEXT(ROW()-1,"0000000000"))</f>
        <v/>
      </c>
      <c r="D97" s="24"/>
      <c r="E97" s="25" t="n">
        <f aca="false">IF($B97="",0,SUMIF(المبيعات!$D$2:$D$401,$C97,المبيعات!$E$2:$E$401))</f>
        <v>0</v>
      </c>
      <c r="F97" s="25" t="n">
        <f aca="false">IF($B97="",0,SUMIF(المرتجعات!$D$2:$D$301,$C97,المرتجعات!$E$2:$E$301))</f>
        <v>0</v>
      </c>
      <c r="G97" s="21" t="n">
        <f aca="false">D97-E97+F97</f>
        <v>0</v>
      </c>
      <c r="H97" s="26"/>
      <c r="I97" s="27" t="n">
        <f aca="false">G97*H97</f>
        <v>0</v>
      </c>
    </row>
    <row r="98" customFormat="false" ht="15" hidden="false" customHeight="true" outlineLevel="0" collapsed="false">
      <c r="A98" s="21" t="str">
        <f aca="false">IF(B98="","",ROW()-1)</f>
        <v/>
      </c>
      <c r="B98" s="22"/>
      <c r="C98" s="23" t="str">
        <f aca="false">IF(B98="","","200"&amp;TEXT(ROW()-1,"0000000000"))</f>
        <v/>
      </c>
      <c r="D98" s="24"/>
      <c r="E98" s="25" t="n">
        <f aca="false">IF($B98="",0,SUMIF(المبيعات!$D$2:$D$401,$C98,المبيعات!$E$2:$E$401))</f>
        <v>0</v>
      </c>
      <c r="F98" s="25" t="n">
        <f aca="false">IF($B98="",0,SUMIF(المرتجعات!$D$2:$D$301,$C98,المرتجعات!$E$2:$E$301))</f>
        <v>0</v>
      </c>
      <c r="G98" s="21" t="n">
        <f aca="false">D98-E98+F98</f>
        <v>0</v>
      </c>
      <c r="H98" s="26"/>
      <c r="I98" s="27" t="n">
        <f aca="false">G98*H98</f>
        <v>0</v>
      </c>
    </row>
    <row r="99" customFormat="false" ht="15" hidden="false" customHeight="true" outlineLevel="0" collapsed="false">
      <c r="A99" s="21" t="str">
        <f aca="false">IF(B99="","",ROW()-1)</f>
        <v/>
      </c>
      <c r="B99" s="22"/>
      <c r="C99" s="23" t="str">
        <f aca="false">IF(B99="","","200"&amp;TEXT(ROW()-1,"0000000000"))</f>
        <v/>
      </c>
      <c r="D99" s="24"/>
      <c r="E99" s="25" t="n">
        <f aca="false">IF($B99="",0,SUMIF(المبيعات!$D$2:$D$401,$C99,المبيعات!$E$2:$E$401))</f>
        <v>0</v>
      </c>
      <c r="F99" s="25" t="n">
        <f aca="false">IF($B99="",0,SUMIF(المرتجعات!$D$2:$D$301,$C99,المرتجعات!$E$2:$E$301))</f>
        <v>0</v>
      </c>
      <c r="G99" s="21" t="n">
        <f aca="false">D99-E99+F99</f>
        <v>0</v>
      </c>
      <c r="H99" s="26"/>
      <c r="I99" s="27" t="n">
        <f aca="false">G99*H99</f>
        <v>0</v>
      </c>
    </row>
    <row r="100" customFormat="false" ht="15" hidden="false" customHeight="true" outlineLevel="0" collapsed="false">
      <c r="A100" s="21" t="str">
        <f aca="false">IF(B100="","",ROW()-1)</f>
        <v/>
      </c>
      <c r="B100" s="22"/>
      <c r="C100" s="23" t="str">
        <f aca="false">IF(B100="","","200"&amp;TEXT(ROW()-1,"0000000000"))</f>
        <v/>
      </c>
      <c r="D100" s="24"/>
      <c r="E100" s="25" t="n">
        <f aca="false">IF($B100="",0,SUMIF(المبيعات!$D$2:$D$401,$C100,المبيعات!$E$2:$E$401))</f>
        <v>0</v>
      </c>
      <c r="F100" s="25" t="n">
        <f aca="false">IF($B100="",0,SUMIF(المرتجعات!$D$2:$D$301,$C100,المرتجعات!$E$2:$E$301))</f>
        <v>0</v>
      </c>
      <c r="G100" s="21" t="n">
        <f aca="false">D100-E100+F100</f>
        <v>0</v>
      </c>
      <c r="H100" s="26"/>
      <c r="I100" s="27" t="n">
        <f aca="false">G100*H100</f>
        <v>0</v>
      </c>
    </row>
    <row r="101" customFormat="false" ht="15" hidden="false" customHeight="true" outlineLevel="0" collapsed="false">
      <c r="A101" s="21" t="str">
        <f aca="false">IF(B101="","",ROW()-1)</f>
        <v/>
      </c>
      <c r="B101" s="22"/>
      <c r="C101" s="23" t="str">
        <f aca="false">IF(B101="","","200"&amp;TEXT(ROW()-1,"0000000000"))</f>
        <v/>
      </c>
      <c r="D101" s="24"/>
      <c r="E101" s="25" t="n">
        <f aca="false">IF($B101="",0,SUMIF(المبيعات!$D$2:$D$401,$C101,المبيعات!$E$2:$E$401))</f>
        <v>0</v>
      </c>
      <c r="F101" s="25" t="n">
        <f aca="false">IF($B101="",0,SUMIF(المرتجعات!$D$2:$D$301,$C101,المرتجعات!$E$2:$E$301))</f>
        <v>0</v>
      </c>
      <c r="G101" s="21" t="n">
        <f aca="false">D101-E101+F101</f>
        <v>0</v>
      </c>
      <c r="H101" s="26"/>
      <c r="I101" s="27" t="n">
        <f aca="false">G101*H101</f>
        <v>0</v>
      </c>
    </row>
    <row r="102" customFormat="false" ht="15" hidden="false" customHeight="true" outlineLevel="0" collapsed="false">
      <c r="A102" s="21" t="str">
        <f aca="false">IF(B102="","",ROW()-1)</f>
        <v/>
      </c>
      <c r="B102" s="22"/>
      <c r="C102" s="23" t="str">
        <f aca="false">IF(B102="","","200"&amp;TEXT(ROW()-1,"0000000000"))</f>
        <v/>
      </c>
      <c r="D102" s="24"/>
      <c r="E102" s="25" t="n">
        <f aca="false">IF($B102="",0,SUMIF(المبيعات!$D$2:$D$401,$C102,المبيعات!$E$2:$E$401))</f>
        <v>0</v>
      </c>
      <c r="F102" s="25" t="n">
        <f aca="false">IF($B102="",0,SUMIF(المرتجعات!$D$2:$D$301,$C102,المرتجعات!$E$2:$E$301))</f>
        <v>0</v>
      </c>
      <c r="G102" s="21" t="n">
        <f aca="false">D102-E102+F102</f>
        <v>0</v>
      </c>
      <c r="H102" s="26"/>
      <c r="I102" s="27" t="n">
        <f aca="false">G102*H102</f>
        <v>0</v>
      </c>
    </row>
    <row r="103" customFormat="false" ht="15" hidden="false" customHeight="true" outlineLevel="0" collapsed="false">
      <c r="A103" s="21" t="str">
        <f aca="false">IF(B103="","",ROW()-1)</f>
        <v/>
      </c>
      <c r="B103" s="22"/>
      <c r="C103" s="23" t="str">
        <f aca="false">IF(B103="","","200"&amp;TEXT(ROW()-1,"0000000000"))</f>
        <v/>
      </c>
      <c r="D103" s="24"/>
      <c r="E103" s="25" t="n">
        <f aca="false">IF($B103="",0,SUMIF(المبيعات!$D$2:$D$401,$C103,المبيعات!$E$2:$E$401))</f>
        <v>0</v>
      </c>
      <c r="F103" s="25" t="n">
        <f aca="false">IF($B103="",0,SUMIF(المرتجعات!$D$2:$D$301,$C103,المرتجعات!$E$2:$E$301))</f>
        <v>0</v>
      </c>
      <c r="G103" s="21" t="n">
        <f aca="false">D103-E103+F103</f>
        <v>0</v>
      </c>
      <c r="H103" s="26"/>
      <c r="I103" s="27" t="n">
        <f aca="false">G103*H103</f>
        <v>0</v>
      </c>
    </row>
    <row r="104" customFormat="false" ht="15" hidden="false" customHeight="true" outlineLevel="0" collapsed="false">
      <c r="A104" s="21" t="str">
        <f aca="false">IF(B104="","",ROW()-1)</f>
        <v/>
      </c>
      <c r="B104" s="22"/>
      <c r="C104" s="23" t="str">
        <f aca="false">IF(B104="","","200"&amp;TEXT(ROW()-1,"0000000000"))</f>
        <v/>
      </c>
      <c r="D104" s="24"/>
      <c r="E104" s="25" t="n">
        <f aca="false">IF($B104="",0,SUMIF(المبيعات!$D$2:$D$401,$C104,المبيعات!$E$2:$E$401))</f>
        <v>0</v>
      </c>
      <c r="F104" s="25" t="n">
        <f aca="false">IF($B104="",0,SUMIF(المرتجعات!$D$2:$D$301,$C104,المرتجعات!$E$2:$E$301))</f>
        <v>0</v>
      </c>
      <c r="G104" s="21" t="n">
        <f aca="false">D104-E104+F104</f>
        <v>0</v>
      </c>
      <c r="H104" s="26"/>
      <c r="I104" s="27" t="n">
        <f aca="false">G104*H104</f>
        <v>0</v>
      </c>
    </row>
    <row r="105" customFormat="false" ht="15" hidden="false" customHeight="true" outlineLevel="0" collapsed="false">
      <c r="A105" s="21" t="str">
        <f aca="false">IF(B105="","",ROW()-1)</f>
        <v/>
      </c>
      <c r="B105" s="22"/>
      <c r="C105" s="23" t="str">
        <f aca="false">IF(B105="","","200"&amp;TEXT(ROW()-1,"0000000000"))</f>
        <v/>
      </c>
      <c r="D105" s="24"/>
      <c r="E105" s="25" t="n">
        <f aca="false">IF($B105="",0,SUMIF(المبيعات!$D$2:$D$401,$C105,المبيعات!$E$2:$E$401))</f>
        <v>0</v>
      </c>
      <c r="F105" s="25" t="n">
        <f aca="false">IF($B105="",0,SUMIF(المرتجعات!$D$2:$D$301,$C105,المرتجعات!$E$2:$E$301))</f>
        <v>0</v>
      </c>
      <c r="G105" s="21" t="n">
        <f aca="false">D105-E105+F105</f>
        <v>0</v>
      </c>
      <c r="H105" s="26"/>
      <c r="I105" s="27" t="n">
        <f aca="false">G105*H105</f>
        <v>0</v>
      </c>
    </row>
    <row r="106" customFormat="false" ht="15" hidden="false" customHeight="true" outlineLevel="0" collapsed="false">
      <c r="A106" s="21" t="str">
        <f aca="false">IF(B106="","",ROW()-1)</f>
        <v/>
      </c>
      <c r="B106" s="22"/>
      <c r="C106" s="23" t="str">
        <f aca="false">IF(B106="","","200"&amp;TEXT(ROW()-1,"0000000000"))</f>
        <v/>
      </c>
      <c r="D106" s="24"/>
      <c r="E106" s="25" t="n">
        <f aca="false">IF($B106="",0,SUMIF(المبيعات!$D$2:$D$401,$C106,المبيعات!$E$2:$E$401))</f>
        <v>0</v>
      </c>
      <c r="F106" s="25" t="n">
        <f aca="false">IF($B106="",0,SUMIF(المرتجعات!$D$2:$D$301,$C106,المرتجعات!$E$2:$E$301))</f>
        <v>0</v>
      </c>
      <c r="G106" s="21" t="n">
        <f aca="false">D106-E106+F106</f>
        <v>0</v>
      </c>
      <c r="H106" s="26"/>
      <c r="I106" s="27" t="n">
        <f aca="false">G106*H106</f>
        <v>0</v>
      </c>
    </row>
    <row r="107" customFormat="false" ht="15" hidden="false" customHeight="true" outlineLevel="0" collapsed="false">
      <c r="A107" s="21" t="str">
        <f aca="false">IF(B107="","",ROW()-1)</f>
        <v/>
      </c>
      <c r="B107" s="22"/>
      <c r="C107" s="23" t="str">
        <f aca="false">IF(B107="","","200"&amp;TEXT(ROW()-1,"0000000000"))</f>
        <v/>
      </c>
      <c r="D107" s="24"/>
      <c r="E107" s="25" t="n">
        <f aca="false">IF($B107="",0,SUMIF(المبيعات!$D$2:$D$401,$C107,المبيعات!$E$2:$E$401))</f>
        <v>0</v>
      </c>
      <c r="F107" s="25" t="n">
        <f aca="false">IF($B107="",0,SUMIF(المرتجعات!$D$2:$D$301,$C107,المرتجعات!$E$2:$E$301))</f>
        <v>0</v>
      </c>
      <c r="G107" s="21" t="n">
        <f aca="false">D107-E107+F107</f>
        <v>0</v>
      </c>
      <c r="H107" s="26"/>
      <c r="I107" s="27" t="n">
        <f aca="false">G107*H107</f>
        <v>0</v>
      </c>
    </row>
    <row r="108" customFormat="false" ht="15" hidden="false" customHeight="true" outlineLevel="0" collapsed="false">
      <c r="A108" s="21" t="str">
        <f aca="false">IF(B108="","",ROW()-1)</f>
        <v/>
      </c>
      <c r="B108" s="22"/>
      <c r="C108" s="23" t="str">
        <f aca="false">IF(B108="","","200"&amp;TEXT(ROW()-1,"0000000000"))</f>
        <v/>
      </c>
      <c r="D108" s="24"/>
      <c r="E108" s="25" t="n">
        <f aca="false">IF($B108="",0,SUMIF(المبيعات!$D$2:$D$401,$C108,المبيعات!$E$2:$E$401))</f>
        <v>0</v>
      </c>
      <c r="F108" s="25" t="n">
        <f aca="false">IF($B108="",0,SUMIF(المرتجعات!$D$2:$D$301,$C108,المرتجعات!$E$2:$E$301))</f>
        <v>0</v>
      </c>
      <c r="G108" s="21" t="n">
        <f aca="false">D108-E108+F108</f>
        <v>0</v>
      </c>
      <c r="H108" s="26"/>
      <c r="I108" s="27" t="n">
        <f aca="false">G108*H108</f>
        <v>0</v>
      </c>
    </row>
    <row r="109" customFormat="false" ht="15" hidden="false" customHeight="true" outlineLevel="0" collapsed="false">
      <c r="A109" s="21" t="str">
        <f aca="false">IF(B109="","",ROW()-1)</f>
        <v/>
      </c>
      <c r="B109" s="22"/>
      <c r="C109" s="23" t="str">
        <f aca="false">IF(B109="","","200"&amp;TEXT(ROW()-1,"0000000000"))</f>
        <v/>
      </c>
      <c r="D109" s="24"/>
      <c r="E109" s="25" t="n">
        <f aca="false">IF($B109="",0,SUMIF(المبيعات!$D$2:$D$401,$C109,المبيعات!$E$2:$E$401))</f>
        <v>0</v>
      </c>
      <c r="F109" s="25" t="n">
        <f aca="false">IF($B109="",0,SUMIF(المرتجعات!$D$2:$D$301,$C109,المرتجعات!$E$2:$E$301))</f>
        <v>0</v>
      </c>
      <c r="G109" s="21" t="n">
        <f aca="false">D109-E109+F109</f>
        <v>0</v>
      </c>
      <c r="H109" s="26"/>
      <c r="I109" s="27" t="n">
        <f aca="false">G109*H109</f>
        <v>0</v>
      </c>
    </row>
    <row r="110" customFormat="false" ht="15" hidden="false" customHeight="true" outlineLevel="0" collapsed="false">
      <c r="A110" s="21" t="str">
        <f aca="false">IF(B110="","",ROW()-1)</f>
        <v/>
      </c>
      <c r="B110" s="22"/>
      <c r="C110" s="23" t="str">
        <f aca="false">IF(B110="","","200"&amp;TEXT(ROW()-1,"0000000000"))</f>
        <v/>
      </c>
      <c r="D110" s="24"/>
      <c r="E110" s="25" t="n">
        <f aca="false">IF($B110="",0,SUMIF(المبيعات!$D$2:$D$401,$C110,المبيعات!$E$2:$E$401))</f>
        <v>0</v>
      </c>
      <c r="F110" s="25" t="n">
        <f aca="false">IF($B110="",0,SUMIF(المرتجعات!$D$2:$D$301,$C110,المرتجعات!$E$2:$E$301))</f>
        <v>0</v>
      </c>
      <c r="G110" s="21" t="n">
        <f aca="false">D110-E110+F110</f>
        <v>0</v>
      </c>
      <c r="H110" s="26"/>
      <c r="I110" s="27" t="n">
        <f aca="false">G110*H110</f>
        <v>0</v>
      </c>
    </row>
    <row r="111" customFormat="false" ht="15" hidden="false" customHeight="true" outlineLevel="0" collapsed="false">
      <c r="A111" s="21" t="str">
        <f aca="false">IF(B111="","",ROW()-1)</f>
        <v/>
      </c>
      <c r="B111" s="22"/>
      <c r="C111" s="23" t="str">
        <f aca="false">IF(B111="","","200"&amp;TEXT(ROW()-1,"0000000000"))</f>
        <v/>
      </c>
      <c r="D111" s="24"/>
      <c r="E111" s="25" t="n">
        <f aca="false">IF($B111="",0,SUMIF(المبيعات!$D$2:$D$401,$C111,المبيعات!$E$2:$E$401))</f>
        <v>0</v>
      </c>
      <c r="F111" s="25" t="n">
        <f aca="false">IF($B111="",0,SUMIF(المرتجعات!$D$2:$D$301,$C111,المرتجعات!$E$2:$E$301))</f>
        <v>0</v>
      </c>
      <c r="G111" s="21" t="n">
        <f aca="false">D111-E111+F111</f>
        <v>0</v>
      </c>
      <c r="H111" s="26"/>
      <c r="I111" s="27" t="n">
        <f aca="false">G111*H111</f>
        <v>0</v>
      </c>
    </row>
    <row r="112" customFormat="false" ht="15" hidden="false" customHeight="true" outlineLevel="0" collapsed="false">
      <c r="A112" s="21" t="str">
        <f aca="false">IF(B112="","",ROW()-1)</f>
        <v/>
      </c>
      <c r="B112" s="22"/>
      <c r="C112" s="23" t="str">
        <f aca="false">IF(B112="","","200"&amp;TEXT(ROW()-1,"0000000000"))</f>
        <v/>
      </c>
      <c r="D112" s="24"/>
      <c r="E112" s="25" t="n">
        <f aca="false">IF($B112="",0,SUMIF(المبيعات!$D$2:$D$401,$C112,المبيعات!$E$2:$E$401))</f>
        <v>0</v>
      </c>
      <c r="F112" s="25" t="n">
        <f aca="false">IF($B112="",0,SUMIF(المرتجعات!$D$2:$D$301,$C112,المرتجعات!$E$2:$E$301))</f>
        <v>0</v>
      </c>
      <c r="G112" s="21" t="n">
        <f aca="false">D112-E112+F112</f>
        <v>0</v>
      </c>
      <c r="H112" s="26"/>
      <c r="I112" s="27" t="n">
        <f aca="false">G112*H112</f>
        <v>0</v>
      </c>
    </row>
    <row r="113" customFormat="false" ht="15" hidden="false" customHeight="true" outlineLevel="0" collapsed="false">
      <c r="A113" s="21" t="str">
        <f aca="false">IF(B113="","",ROW()-1)</f>
        <v/>
      </c>
      <c r="B113" s="22"/>
      <c r="C113" s="23" t="str">
        <f aca="false">IF(B113="","","200"&amp;TEXT(ROW()-1,"0000000000"))</f>
        <v/>
      </c>
      <c r="D113" s="24"/>
      <c r="E113" s="25" t="n">
        <f aca="false">IF($B113="",0,SUMIF(المبيعات!$D$2:$D$401,$C113,المبيعات!$E$2:$E$401))</f>
        <v>0</v>
      </c>
      <c r="F113" s="25" t="n">
        <f aca="false">IF($B113="",0,SUMIF(المرتجعات!$D$2:$D$301,$C113,المرتجعات!$E$2:$E$301))</f>
        <v>0</v>
      </c>
      <c r="G113" s="21" t="n">
        <f aca="false">D113-E113+F113</f>
        <v>0</v>
      </c>
      <c r="H113" s="26"/>
      <c r="I113" s="27" t="n">
        <f aca="false">G113*H113</f>
        <v>0</v>
      </c>
    </row>
    <row r="114" customFormat="false" ht="15" hidden="false" customHeight="true" outlineLevel="0" collapsed="false">
      <c r="A114" s="21" t="str">
        <f aca="false">IF(B114="","",ROW()-1)</f>
        <v/>
      </c>
      <c r="B114" s="22"/>
      <c r="C114" s="23" t="str">
        <f aca="false">IF(B114="","","200"&amp;TEXT(ROW()-1,"0000000000"))</f>
        <v/>
      </c>
      <c r="D114" s="24"/>
      <c r="E114" s="25" t="n">
        <f aca="false">IF($B114="",0,SUMIF(المبيعات!$D$2:$D$401,$C114,المبيعات!$E$2:$E$401))</f>
        <v>0</v>
      </c>
      <c r="F114" s="25" t="n">
        <f aca="false">IF($B114="",0,SUMIF(المرتجعات!$D$2:$D$301,$C114,المرتجعات!$E$2:$E$301))</f>
        <v>0</v>
      </c>
      <c r="G114" s="21" t="n">
        <f aca="false">D114-E114+F114</f>
        <v>0</v>
      </c>
      <c r="H114" s="26"/>
      <c r="I114" s="27" t="n">
        <f aca="false">G114*H114</f>
        <v>0</v>
      </c>
    </row>
    <row r="115" customFormat="false" ht="15" hidden="false" customHeight="true" outlineLevel="0" collapsed="false">
      <c r="A115" s="21" t="str">
        <f aca="false">IF(B115="","",ROW()-1)</f>
        <v/>
      </c>
      <c r="B115" s="22"/>
      <c r="C115" s="23" t="str">
        <f aca="false">IF(B115="","","200"&amp;TEXT(ROW()-1,"0000000000"))</f>
        <v/>
      </c>
      <c r="D115" s="24"/>
      <c r="E115" s="25" t="n">
        <f aca="false">IF($B115="",0,SUMIF(المبيعات!$D$2:$D$401,$C115,المبيعات!$E$2:$E$401))</f>
        <v>0</v>
      </c>
      <c r="F115" s="25" t="n">
        <f aca="false">IF($B115="",0,SUMIF(المرتجعات!$D$2:$D$301,$C115,المرتجعات!$E$2:$E$301))</f>
        <v>0</v>
      </c>
      <c r="G115" s="21" t="n">
        <f aca="false">D115-E115+F115</f>
        <v>0</v>
      </c>
      <c r="H115" s="26"/>
      <c r="I115" s="27" t="n">
        <f aca="false">G115*H115</f>
        <v>0</v>
      </c>
    </row>
    <row r="116" customFormat="false" ht="15" hidden="false" customHeight="true" outlineLevel="0" collapsed="false">
      <c r="A116" s="21" t="str">
        <f aca="false">IF(B116="","",ROW()-1)</f>
        <v/>
      </c>
      <c r="B116" s="22"/>
      <c r="C116" s="23" t="str">
        <f aca="false">IF(B116="","","200"&amp;TEXT(ROW()-1,"0000000000"))</f>
        <v/>
      </c>
      <c r="D116" s="24"/>
      <c r="E116" s="25" t="n">
        <f aca="false">IF($B116="",0,SUMIF(المبيعات!$D$2:$D$401,$C116,المبيعات!$E$2:$E$401))</f>
        <v>0</v>
      </c>
      <c r="F116" s="25" t="n">
        <f aca="false">IF($B116="",0,SUMIF(المرتجعات!$D$2:$D$301,$C116,المرتجعات!$E$2:$E$301))</f>
        <v>0</v>
      </c>
      <c r="G116" s="21" t="n">
        <f aca="false">D116-E116+F116</f>
        <v>0</v>
      </c>
      <c r="H116" s="26"/>
      <c r="I116" s="27" t="n">
        <f aca="false">G116*H116</f>
        <v>0</v>
      </c>
    </row>
    <row r="117" customFormat="false" ht="15" hidden="false" customHeight="true" outlineLevel="0" collapsed="false">
      <c r="A117" s="21" t="str">
        <f aca="false">IF(B117="","",ROW()-1)</f>
        <v/>
      </c>
      <c r="B117" s="22"/>
      <c r="C117" s="23" t="str">
        <f aca="false">IF(B117="","","200"&amp;TEXT(ROW()-1,"0000000000"))</f>
        <v/>
      </c>
      <c r="D117" s="24"/>
      <c r="E117" s="25" t="n">
        <f aca="false">IF($B117="",0,SUMIF(المبيعات!$D$2:$D$401,$C117,المبيعات!$E$2:$E$401))</f>
        <v>0</v>
      </c>
      <c r="F117" s="25" t="n">
        <f aca="false">IF($B117="",0,SUMIF(المرتجعات!$D$2:$D$301,$C117,المرتجعات!$E$2:$E$301))</f>
        <v>0</v>
      </c>
      <c r="G117" s="21" t="n">
        <f aca="false">D117-E117+F117</f>
        <v>0</v>
      </c>
      <c r="H117" s="26"/>
      <c r="I117" s="27" t="n">
        <f aca="false">G117*H117</f>
        <v>0</v>
      </c>
    </row>
    <row r="118" customFormat="false" ht="15" hidden="false" customHeight="true" outlineLevel="0" collapsed="false">
      <c r="A118" s="21" t="str">
        <f aca="false">IF(B118="","",ROW()-1)</f>
        <v/>
      </c>
      <c r="B118" s="22"/>
      <c r="C118" s="23" t="str">
        <f aca="false">IF(B118="","","200"&amp;TEXT(ROW()-1,"0000000000"))</f>
        <v/>
      </c>
      <c r="D118" s="24"/>
      <c r="E118" s="25" t="n">
        <f aca="false">IF($B118="",0,SUMIF(المبيعات!$D$2:$D$401,$C118,المبيعات!$E$2:$E$401))</f>
        <v>0</v>
      </c>
      <c r="F118" s="25" t="n">
        <f aca="false">IF($B118="",0,SUMIF(المرتجعات!$D$2:$D$301,$C118,المرتجعات!$E$2:$E$301))</f>
        <v>0</v>
      </c>
      <c r="G118" s="21" t="n">
        <f aca="false">D118-E118+F118</f>
        <v>0</v>
      </c>
      <c r="H118" s="26"/>
      <c r="I118" s="27" t="n">
        <f aca="false">G118*H118</f>
        <v>0</v>
      </c>
    </row>
    <row r="119" customFormat="false" ht="15" hidden="false" customHeight="true" outlineLevel="0" collapsed="false">
      <c r="A119" s="21" t="str">
        <f aca="false">IF(B119="","",ROW()-1)</f>
        <v/>
      </c>
      <c r="B119" s="22"/>
      <c r="C119" s="23" t="str">
        <f aca="false">IF(B119="","","200"&amp;TEXT(ROW()-1,"0000000000"))</f>
        <v/>
      </c>
      <c r="D119" s="24"/>
      <c r="E119" s="25" t="n">
        <f aca="false">IF($B119="",0,SUMIF(المبيعات!$D$2:$D$401,$C119,المبيعات!$E$2:$E$401))</f>
        <v>0</v>
      </c>
      <c r="F119" s="25" t="n">
        <f aca="false">IF($B119="",0,SUMIF(المرتجعات!$D$2:$D$301,$C119,المرتجعات!$E$2:$E$301))</f>
        <v>0</v>
      </c>
      <c r="G119" s="21" t="n">
        <f aca="false">D119-E119+F119</f>
        <v>0</v>
      </c>
      <c r="H119" s="26"/>
      <c r="I119" s="27" t="n">
        <f aca="false">G119*H119</f>
        <v>0</v>
      </c>
    </row>
    <row r="120" customFormat="false" ht="15" hidden="false" customHeight="true" outlineLevel="0" collapsed="false">
      <c r="A120" s="21" t="str">
        <f aca="false">IF(B120="","",ROW()-1)</f>
        <v/>
      </c>
      <c r="B120" s="22"/>
      <c r="C120" s="23" t="str">
        <f aca="false">IF(B120="","","200"&amp;TEXT(ROW()-1,"0000000000"))</f>
        <v/>
      </c>
      <c r="D120" s="24"/>
      <c r="E120" s="25" t="n">
        <f aca="false">IF($B120="",0,SUMIF(المبيعات!$D$2:$D$401,$C120,المبيعات!$E$2:$E$401))</f>
        <v>0</v>
      </c>
      <c r="F120" s="25" t="n">
        <f aca="false">IF($B120="",0,SUMIF(المرتجعات!$D$2:$D$301,$C120,المرتجعات!$E$2:$E$301))</f>
        <v>0</v>
      </c>
      <c r="G120" s="21" t="n">
        <f aca="false">D120-E120+F120</f>
        <v>0</v>
      </c>
      <c r="H120" s="26"/>
      <c r="I120" s="27" t="n">
        <f aca="false">G120*H120</f>
        <v>0</v>
      </c>
    </row>
    <row r="121" customFormat="false" ht="15" hidden="false" customHeight="true" outlineLevel="0" collapsed="false">
      <c r="A121" s="21" t="str">
        <f aca="false">IF(B121="","",ROW()-1)</f>
        <v/>
      </c>
      <c r="B121" s="22"/>
      <c r="C121" s="23" t="str">
        <f aca="false">IF(B121="","","200"&amp;TEXT(ROW()-1,"0000000000"))</f>
        <v/>
      </c>
      <c r="D121" s="24"/>
      <c r="E121" s="25" t="n">
        <f aca="false">IF($B121="",0,SUMIF(المبيعات!$D$2:$D$401,$C121,المبيعات!$E$2:$E$401))</f>
        <v>0</v>
      </c>
      <c r="F121" s="25" t="n">
        <f aca="false">IF($B121="",0,SUMIF(المرتجعات!$D$2:$D$301,$C121,المرتجعات!$E$2:$E$301))</f>
        <v>0</v>
      </c>
      <c r="G121" s="21" t="n">
        <f aca="false">D121-E121+F121</f>
        <v>0</v>
      </c>
      <c r="H121" s="26"/>
      <c r="I121" s="27" t="n">
        <f aca="false">G121*H121</f>
        <v>0</v>
      </c>
    </row>
    <row r="122" customFormat="false" ht="15" hidden="false" customHeight="true" outlineLevel="0" collapsed="false">
      <c r="A122" s="21" t="str">
        <f aca="false">IF(B122="","",ROW()-1)</f>
        <v/>
      </c>
      <c r="B122" s="22"/>
      <c r="C122" s="23" t="str">
        <f aca="false">IF(B122="","","200"&amp;TEXT(ROW()-1,"0000000000"))</f>
        <v/>
      </c>
      <c r="D122" s="24"/>
      <c r="E122" s="25" t="n">
        <f aca="false">IF($B122="",0,SUMIF(المبيعات!$D$2:$D$401,$C122,المبيعات!$E$2:$E$401))</f>
        <v>0</v>
      </c>
      <c r="F122" s="25" t="n">
        <f aca="false">IF($B122="",0,SUMIF(المرتجعات!$D$2:$D$301,$C122,المرتجعات!$E$2:$E$301))</f>
        <v>0</v>
      </c>
      <c r="G122" s="21" t="n">
        <f aca="false">D122-E122+F122</f>
        <v>0</v>
      </c>
      <c r="H122" s="26"/>
      <c r="I122" s="27" t="n">
        <f aca="false">G122*H122</f>
        <v>0</v>
      </c>
    </row>
    <row r="123" customFormat="false" ht="15" hidden="false" customHeight="true" outlineLevel="0" collapsed="false">
      <c r="A123" s="21" t="str">
        <f aca="false">IF(B123="","",ROW()-1)</f>
        <v/>
      </c>
      <c r="B123" s="22"/>
      <c r="C123" s="23" t="str">
        <f aca="false">IF(B123="","","200"&amp;TEXT(ROW()-1,"0000000000"))</f>
        <v/>
      </c>
      <c r="D123" s="24"/>
      <c r="E123" s="25" t="n">
        <f aca="false">IF($B123="",0,SUMIF(المبيعات!$D$2:$D$401,$C123,المبيعات!$E$2:$E$401))</f>
        <v>0</v>
      </c>
      <c r="F123" s="25" t="n">
        <f aca="false">IF($B123="",0,SUMIF(المرتجعات!$D$2:$D$301,$C123,المرتجعات!$E$2:$E$301))</f>
        <v>0</v>
      </c>
      <c r="G123" s="21" t="n">
        <f aca="false">D123-E123+F123</f>
        <v>0</v>
      </c>
      <c r="H123" s="26"/>
      <c r="I123" s="27" t="n">
        <f aca="false">G123*H123</f>
        <v>0</v>
      </c>
    </row>
    <row r="124" customFormat="false" ht="15" hidden="false" customHeight="true" outlineLevel="0" collapsed="false">
      <c r="A124" s="21" t="str">
        <f aca="false">IF(B124="","",ROW()-1)</f>
        <v/>
      </c>
      <c r="B124" s="22"/>
      <c r="C124" s="23" t="str">
        <f aca="false">IF(B124="","","200"&amp;TEXT(ROW()-1,"0000000000"))</f>
        <v/>
      </c>
      <c r="D124" s="24"/>
      <c r="E124" s="25" t="n">
        <f aca="false">IF($B124="",0,SUMIF(المبيعات!$D$2:$D$401,$C124,المبيعات!$E$2:$E$401))</f>
        <v>0</v>
      </c>
      <c r="F124" s="25" t="n">
        <f aca="false">IF($B124="",0,SUMIF(المرتجعات!$D$2:$D$301,$C124,المرتجعات!$E$2:$E$301))</f>
        <v>0</v>
      </c>
      <c r="G124" s="21" t="n">
        <f aca="false">D124-E124+F124</f>
        <v>0</v>
      </c>
      <c r="H124" s="26"/>
      <c r="I124" s="27" t="n">
        <f aca="false">G124*H124</f>
        <v>0</v>
      </c>
    </row>
    <row r="125" customFormat="false" ht="15" hidden="false" customHeight="true" outlineLevel="0" collapsed="false">
      <c r="A125" s="21" t="str">
        <f aca="false">IF(B125="","",ROW()-1)</f>
        <v/>
      </c>
      <c r="B125" s="22"/>
      <c r="C125" s="23" t="str">
        <f aca="false">IF(B125="","","200"&amp;TEXT(ROW()-1,"0000000000"))</f>
        <v/>
      </c>
      <c r="D125" s="24"/>
      <c r="E125" s="25" t="n">
        <f aca="false">IF($B125="",0,SUMIF(المبيعات!$D$2:$D$401,$C125,المبيعات!$E$2:$E$401))</f>
        <v>0</v>
      </c>
      <c r="F125" s="25" t="n">
        <f aca="false">IF($B125="",0,SUMIF(المرتجعات!$D$2:$D$301,$C125,المرتجعات!$E$2:$E$301))</f>
        <v>0</v>
      </c>
      <c r="G125" s="21" t="n">
        <f aca="false">D125-E125+F125</f>
        <v>0</v>
      </c>
      <c r="H125" s="26"/>
      <c r="I125" s="27" t="n">
        <f aca="false">G125*H125</f>
        <v>0</v>
      </c>
    </row>
    <row r="126" customFormat="false" ht="15" hidden="false" customHeight="true" outlineLevel="0" collapsed="false">
      <c r="A126" s="21" t="str">
        <f aca="false">IF(B126="","",ROW()-1)</f>
        <v/>
      </c>
      <c r="B126" s="22"/>
      <c r="C126" s="23" t="str">
        <f aca="false">IF(B126="","","200"&amp;TEXT(ROW()-1,"0000000000"))</f>
        <v/>
      </c>
      <c r="D126" s="24"/>
      <c r="E126" s="25" t="n">
        <f aca="false">IF($B126="",0,SUMIF(المبيعات!$D$2:$D$401,$C126,المبيعات!$E$2:$E$401))</f>
        <v>0</v>
      </c>
      <c r="F126" s="25" t="n">
        <f aca="false">IF($B126="",0,SUMIF(المرتجعات!$D$2:$D$301,$C126,المرتجعات!$E$2:$E$301))</f>
        <v>0</v>
      </c>
      <c r="G126" s="21" t="n">
        <f aca="false">D126-E126+F126</f>
        <v>0</v>
      </c>
      <c r="H126" s="26"/>
      <c r="I126" s="27" t="n">
        <f aca="false">G126*H126</f>
        <v>0</v>
      </c>
    </row>
    <row r="127" customFormat="false" ht="15" hidden="false" customHeight="true" outlineLevel="0" collapsed="false">
      <c r="A127" s="21" t="str">
        <f aca="false">IF(B127="","",ROW()-1)</f>
        <v/>
      </c>
      <c r="B127" s="22"/>
      <c r="C127" s="23" t="str">
        <f aca="false">IF(B127="","","200"&amp;TEXT(ROW()-1,"0000000000"))</f>
        <v/>
      </c>
      <c r="D127" s="24"/>
      <c r="E127" s="25" t="n">
        <f aca="false">IF($B127="",0,SUMIF(المبيعات!$D$2:$D$401,$C127,المبيعات!$E$2:$E$401))</f>
        <v>0</v>
      </c>
      <c r="F127" s="25" t="n">
        <f aca="false">IF($B127="",0,SUMIF(المرتجعات!$D$2:$D$301,$C127,المرتجعات!$E$2:$E$301))</f>
        <v>0</v>
      </c>
      <c r="G127" s="21" t="n">
        <f aca="false">D127-E127+F127</f>
        <v>0</v>
      </c>
      <c r="H127" s="26"/>
      <c r="I127" s="27" t="n">
        <f aca="false">G127*H127</f>
        <v>0</v>
      </c>
    </row>
    <row r="128" customFormat="false" ht="15" hidden="false" customHeight="true" outlineLevel="0" collapsed="false">
      <c r="A128" s="21" t="str">
        <f aca="false">IF(B128="","",ROW()-1)</f>
        <v/>
      </c>
      <c r="B128" s="22"/>
      <c r="C128" s="23" t="str">
        <f aca="false">IF(B128="","","200"&amp;TEXT(ROW()-1,"0000000000"))</f>
        <v/>
      </c>
      <c r="D128" s="24"/>
      <c r="E128" s="25" t="n">
        <f aca="false">IF($B128="",0,SUMIF(المبيعات!$D$2:$D$401,$C128,المبيعات!$E$2:$E$401))</f>
        <v>0</v>
      </c>
      <c r="F128" s="25" t="n">
        <f aca="false">IF($B128="",0,SUMIF(المرتجعات!$D$2:$D$301,$C128,المرتجعات!$E$2:$E$301))</f>
        <v>0</v>
      </c>
      <c r="G128" s="21" t="n">
        <f aca="false">D128-E128+F128</f>
        <v>0</v>
      </c>
      <c r="H128" s="26"/>
      <c r="I128" s="27" t="n">
        <f aca="false">G128*H128</f>
        <v>0</v>
      </c>
    </row>
    <row r="129" customFormat="false" ht="15" hidden="false" customHeight="true" outlineLevel="0" collapsed="false">
      <c r="A129" s="21" t="str">
        <f aca="false">IF(B129="","",ROW()-1)</f>
        <v/>
      </c>
      <c r="B129" s="22"/>
      <c r="C129" s="23" t="str">
        <f aca="false">IF(B129="","","200"&amp;TEXT(ROW()-1,"0000000000"))</f>
        <v/>
      </c>
      <c r="D129" s="24"/>
      <c r="E129" s="25" t="n">
        <f aca="false">IF($B129="",0,SUMIF(المبيعات!$D$2:$D$401,$C129,المبيعات!$E$2:$E$401))</f>
        <v>0</v>
      </c>
      <c r="F129" s="25" t="n">
        <f aca="false">IF($B129="",0,SUMIF(المرتجعات!$D$2:$D$301,$C129,المرتجعات!$E$2:$E$301))</f>
        <v>0</v>
      </c>
      <c r="G129" s="21" t="n">
        <f aca="false">D129-E129+F129</f>
        <v>0</v>
      </c>
      <c r="H129" s="26"/>
      <c r="I129" s="27" t="n">
        <f aca="false">G129*H129</f>
        <v>0</v>
      </c>
    </row>
    <row r="130" customFormat="false" ht="15" hidden="false" customHeight="true" outlineLevel="0" collapsed="false">
      <c r="A130" s="21" t="str">
        <f aca="false">IF(B130="","",ROW()-1)</f>
        <v/>
      </c>
      <c r="B130" s="22"/>
      <c r="C130" s="23" t="str">
        <f aca="false">IF(B130="","","200"&amp;TEXT(ROW()-1,"0000000000"))</f>
        <v/>
      </c>
      <c r="D130" s="24"/>
      <c r="E130" s="25" t="n">
        <f aca="false">IF($B130="",0,SUMIF(المبيعات!$D$2:$D$401,$C130,المبيعات!$E$2:$E$401))</f>
        <v>0</v>
      </c>
      <c r="F130" s="25" t="n">
        <f aca="false">IF($B130="",0,SUMIF(المرتجعات!$D$2:$D$301,$C130,المرتجعات!$E$2:$E$301))</f>
        <v>0</v>
      </c>
      <c r="G130" s="21" t="n">
        <f aca="false">D130-E130+F130</f>
        <v>0</v>
      </c>
      <c r="H130" s="26"/>
      <c r="I130" s="27" t="n">
        <f aca="false">G130*H130</f>
        <v>0</v>
      </c>
    </row>
    <row r="131" customFormat="false" ht="15" hidden="false" customHeight="true" outlineLevel="0" collapsed="false">
      <c r="A131" s="21" t="str">
        <f aca="false">IF(B131="","",ROW()-1)</f>
        <v/>
      </c>
      <c r="B131" s="22"/>
      <c r="C131" s="23" t="str">
        <f aca="false">IF(B131="","","200"&amp;TEXT(ROW()-1,"0000000000"))</f>
        <v/>
      </c>
      <c r="D131" s="24"/>
      <c r="E131" s="25" t="n">
        <f aca="false">IF($B131="",0,SUMIF(المبيعات!$D$2:$D$401,$C131,المبيعات!$E$2:$E$401))</f>
        <v>0</v>
      </c>
      <c r="F131" s="25" t="n">
        <f aca="false">IF($B131="",0,SUMIF(المرتجعات!$D$2:$D$301,$C131,المرتجعات!$E$2:$E$301))</f>
        <v>0</v>
      </c>
      <c r="G131" s="21" t="n">
        <f aca="false">D131-E131+F131</f>
        <v>0</v>
      </c>
      <c r="H131" s="26"/>
      <c r="I131" s="27" t="n">
        <f aca="false">G131*H131</f>
        <v>0</v>
      </c>
    </row>
    <row r="132" customFormat="false" ht="15" hidden="false" customHeight="true" outlineLevel="0" collapsed="false">
      <c r="A132" s="21" t="str">
        <f aca="false">IF(B132="","",ROW()-1)</f>
        <v/>
      </c>
      <c r="B132" s="22"/>
      <c r="C132" s="23" t="str">
        <f aca="false">IF(B132="","","200"&amp;TEXT(ROW()-1,"0000000000"))</f>
        <v/>
      </c>
      <c r="D132" s="24"/>
      <c r="E132" s="25" t="n">
        <f aca="false">IF($B132="",0,SUMIF(المبيعات!$D$2:$D$401,$C132,المبيعات!$E$2:$E$401))</f>
        <v>0</v>
      </c>
      <c r="F132" s="25" t="n">
        <f aca="false">IF($B132="",0,SUMIF(المرتجعات!$D$2:$D$301,$C132,المرتجعات!$E$2:$E$301))</f>
        <v>0</v>
      </c>
      <c r="G132" s="21" t="n">
        <f aca="false">D132-E132+F132</f>
        <v>0</v>
      </c>
      <c r="H132" s="26"/>
      <c r="I132" s="27" t="n">
        <f aca="false">G132*H132</f>
        <v>0</v>
      </c>
    </row>
    <row r="133" customFormat="false" ht="15" hidden="false" customHeight="true" outlineLevel="0" collapsed="false">
      <c r="A133" s="21" t="str">
        <f aca="false">IF(B133="","",ROW()-1)</f>
        <v/>
      </c>
      <c r="B133" s="22"/>
      <c r="C133" s="23" t="str">
        <f aca="false">IF(B133="","","200"&amp;TEXT(ROW()-1,"0000000000"))</f>
        <v/>
      </c>
      <c r="D133" s="24"/>
      <c r="E133" s="25" t="n">
        <f aca="false">IF($B133="",0,SUMIF(المبيعات!$D$2:$D$401,$C133,المبيعات!$E$2:$E$401))</f>
        <v>0</v>
      </c>
      <c r="F133" s="25" t="n">
        <f aca="false">IF($B133="",0,SUMIF(المرتجعات!$D$2:$D$301,$C133,المرتجعات!$E$2:$E$301))</f>
        <v>0</v>
      </c>
      <c r="G133" s="21" t="n">
        <f aca="false">D133-E133+F133</f>
        <v>0</v>
      </c>
      <c r="H133" s="26"/>
      <c r="I133" s="27" t="n">
        <f aca="false">G133*H133</f>
        <v>0</v>
      </c>
    </row>
    <row r="134" customFormat="false" ht="15" hidden="false" customHeight="true" outlineLevel="0" collapsed="false">
      <c r="A134" s="21" t="str">
        <f aca="false">IF(B134="","",ROW()-1)</f>
        <v/>
      </c>
      <c r="B134" s="22"/>
      <c r="C134" s="23" t="str">
        <f aca="false">IF(B134="","","200"&amp;TEXT(ROW()-1,"0000000000"))</f>
        <v/>
      </c>
      <c r="D134" s="24"/>
      <c r="E134" s="25" t="n">
        <f aca="false">IF($B134="",0,SUMIF(المبيعات!$D$2:$D$401,$C134,المبيعات!$E$2:$E$401))</f>
        <v>0</v>
      </c>
      <c r="F134" s="25" t="n">
        <f aca="false">IF($B134="",0,SUMIF(المرتجعات!$D$2:$D$301,$C134,المرتجعات!$E$2:$E$301))</f>
        <v>0</v>
      </c>
      <c r="G134" s="21" t="n">
        <f aca="false">D134-E134+F134</f>
        <v>0</v>
      </c>
      <c r="H134" s="26"/>
      <c r="I134" s="27" t="n">
        <f aca="false">G134*H134</f>
        <v>0</v>
      </c>
    </row>
    <row r="135" customFormat="false" ht="15" hidden="false" customHeight="true" outlineLevel="0" collapsed="false">
      <c r="A135" s="21" t="str">
        <f aca="false">IF(B135="","",ROW()-1)</f>
        <v/>
      </c>
      <c r="B135" s="22"/>
      <c r="C135" s="23" t="str">
        <f aca="false">IF(B135="","","200"&amp;TEXT(ROW()-1,"0000000000"))</f>
        <v/>
      </c>
      <c r="D135" s="24"/>
      <c r="E135" s="25" t="n">
        <f aca="false">IF($B135="",0,SUMIF(المبيعات!$D$2:$D$401,$C135,المبيعات!$E$2:$E$401))</f>
        <v>0</v>
      </c>
      <c r="F135" s="25" t="n">
        <f aca="false">IF($B135="",0,SUMIF(المرتجعات!$D$2:$D$301,$C135,المرتجعات!$E$2:$E$301))</f>
        <v>0</v>
      </c>
      <c r="G135" s="21" t="n">
        <f aca="false">D135-E135+F135</f>
        <v>0</v>
      </c>
      <c r="H135" s="26"/>
      <c r="I135" s="27" t="n">
        <f aca="false">G135*H135</f>
        <v>0</v>
      </c>
    </row>
    <row r="136" customFormat="false" ht="15" hidden="false" customHeight="true" outlineLevel="0" collapsed="false">
      <c r="A136" s="21" t="str">
        <f aca="false">IF(B136="","",ROW()-1)</f>
        <v/>
      </c>
      <c r="B136" s="22"/>
      <c r="C136" s="23" t="str">
        <f aca="false">IF(B136="","","200"&amp;TEXT(ROW()-1,"0000000000"))</f>
        <v/>
      </c>
      <c r="D136" s="24"/>
      <c r="E136" s="25" t="n">
        <f aca="false">IF($B136="",0,SUMIF(المبيعات!$D$2:$D$401,$C136,المبيعات!$E$2:$E$401))</f>
        <v>0</v>
      </c>
      <c r="F136" s="25" t="n">
        <f aca="false">IF($B136="",0,SUMIF(المرتجعات!$D$2:$D$301,$C136,المرتجعات!$E$2:$E$301))</f>
        <v>0</v>
      </c>
      <c r="G136" s="21" t="n">
        <f aca="false">D136-E136+F136</f>
        <v>0</v>
      </c>
      <c r="H136" s="26"/>
      <c r="I136" s="27" t="n">
        <f aca="false">G136*H136</f>
        <v>0</v>
      </c>
    </row>
    <row r="137" customFormat="false" ht="15" hidden="false" customHeight="true" outlineLevel="0" collapsed="false">
      <c r="A137" s="21" t="str">
        <f aca="false">IF(B137="","",ROW()-1)</f>
        <v/>
      </c>
      <c r="B137" s="22"/>
      <c r="C137" s="23" t="str">
        <f aca="false">IF(B137="","","200"&amp;TEXT(ROW()-1,"0000000000"))</f>
        <v/>
      </c>
      <c r="D137" s="24"/>
      <c r="E137" s="25" t="n">
        <f aca="false">IF($B137="",0,SUMIF(المبيعات!$D$2:$D$401,$C137,المبيعات!$E$2:$E$401))</f>
        <v>0</v>
      </c>
      <c r="F137" s="25" t="n">
        <f aca="false">IF($B137="",0,SUMIF(المرتجعات!$D$2:$D$301,$C137,المرتجعات!$E$2:$E$301))</f>
        <v>0</v>
      </c>
      <c r="G137" s="21" t="n">
        <f aca="false">D137-E137+F137</f>
        <v>0</v>
      </c>
      <c r="H137" s="26"/>
      <c r="I137" s="27" t="n">
        <f aca="false">G137*H137</f>
        <v>0</v>
      </c>
    </row>
    <row r="138" customFormat="false" ht="15" hidden="false" customHeight="true" outlineLevel="0" collapsed="false">
      <c r="A138" s="21" t="str">
        <f aca="false">IF(B138="","",ROW()-1)</f>
        <v/>
      </c>
      <c r="B138" s="22"/>
      <c r="C138" s="23" t="str">
        <f aca="false">IF(B138="","","200"&amp;TEXT(ROW()-1,"0000000000"))</f>
        <v/>
      </c>
      <c r="D138" s="24"/>
      <c r="E138" s="25" t="n">
        <f aca="false">IF($B138="",0,SUMIF(المبيعات!$D$2:$D$401,$C138,المبيعات!$E$2:$E$401))</f>
        <v>0</v>
      </c>
      <c r="F138" s="25" t="n">
        <f aca="false">IF($B138="",0,SUMIF(المرتجعات!$D$2:$D$301,$C138,المرتجعات!$E$2:$E$301))</f>
        <v>0</v>
      </c>
      <c r="G138" s="21" t="n">
        <f aca="false">D138-E138+F138</f>
        <v>0</v>
      </c>
      <c r="H138" s="26"/>
      <c r="I138" s="27" t="n">
        <f aca="false">G138*H138</f>
        <v>0</v>
      </c>
    </row>
    <row r="139" customFormat="false" ht="15" hidden="false" customHeight="true" outlineLevel="0" collapsed="false">
      <c r="A139" s="21" t="str">
        <f aca="false">IF(B139="","",ROW()-1)</f>
        <v/>
      </c>
      <c r="B139" s="22"/>
      <c r="C139" s="23" t="str">
        <f aca="false">IF(B139="","","200"&amp;TEXT(ROW()-1,"0000000000"))</f>
        <v/>
      </c>
      <c r="D139" s="24"/>
      <c r="E139" s="25" t="n">
        <f aca="false">IF($B139="",0,SUMIF(المبيعات!$D$2:$D$401,$C139,المبيعات!$E$2:$E$401))</f>
        <v>0</v>
      </c>
      <c r="F139" s="25" t="n">
        <f aca="false">IF($B139="",0,SUMIF(المرتجعات!$D$2:$D$301,$C139,المرتجعات!$E$2:$E$301))</f>
        <v>0</v>
      </c>
      <c r="G139" s="21" t="n">
        <f aca="false">D139-E139+F139</f>
        <v>0</v>
      </c>
      <c r="H139" s="26"/>
      <c r="I139" s="27" t="n">
        <f aca="false">G139*H139</f>
        <v>0</v>
      </c>
    </row>
    <row r="140" customFormat="false" ht="15" hidden="false" customHeight="true" outlineLevel="0" collapsed="false">
      <c r="A140" s="21" t="str">
        <f aca="false">IF(B140="","",ROW()-1)</f>
        <v/>
      </c>
      <c r="B140" s="22"/>
      <c r="C140" s="23" t="str">
        <f aca="false">IF(B140="","","200"&amp;TEXT(ROW()-1,"0000000000"))</f>
        <v/>
      </c>
      <c r="D140" s="24"/>
      <c r="E140" s="25" t="n">
        <f aca="false">IF($B140="",0,SUMIF(المبيعات!$D$2:$D$401,$C140,المبيعات!$E$2:$E$401))</f>
        <v>0</v>
      </c>
      <c r="F140" s="25" t="n">
        <f aca="false">IF($B140="",0,SUMIF(المرتجعات!$D$2:$D$301,$C140,المرتجعات!$E$2:$E$301))</f>
        <v>0</v>
      </c>
      <c r="G140" s="21" t="n">
        <f aca="false">D140-E140+F140</f>
        <v>0</v>
      </c>
      <c r="H140" s="26"/>
      <c r="I140" s="27" t="n">
        <f aca="false">G140*H140</f>
        <v>0</v>
      </c>
    </row>
    <row r="141" customFormat="false" ht="15" hidden="false" customHeight="true" outlineLevel="0" collapsed="false">
      <c r="A141" s="21" t="str">
        <f aca="false">IF(B141="","",ROW()-1)</f>
        <v/>
      </c>
      <c r="B141" s="22"/>
      <c r="C141" s="23" t="str">
        <f aca="false">IF(B141="","","200"&amp;TEXT(ROW()-1,"0000000000"))</f>
        <v/>
      </c>
      <c r="D141" s="24"/>
      <c r="E141" s="25" t="n">
        <f aca="false">IF($B141="",0,SUMIF(المبيعات!$D$2:$D$401,$C141,المبيعات!$E$2:$E$401))</f>
        <v>0</v>
      </c>
      <c r="F141" s="25" t="n">
        <f aca="false">IF($B141="",0,SUMIF(المرتجعات!$D$2:$D$301,$C141,المرتجعات!$E$2:$E$301))</f>
        <v>0</v>
      </c>
      <c r="G141" s="21" t="n">
        <f aca="false">D141-E141+F141</f>
        <v>0</v>
      </c>
      <c r="H141" s="26"/>
      <c r="I141" s="27" t="n">
        <f aca="false">G141*H141</f>
        <v>0</v>
      </c>
    </row>
    <row r="142" customFormat="false" ht="15" hidden="false" customHeight="true" outlineLevel="0" collapsed="false">
      <c r="A142" s="21" t="str">
        <f aca="false">IF(B142="","",ROW()-1)</f>
        <v/>
      </c>
      <c r="B142" s="22"/>
      <c r="C142" s="23" t="str">
        <f aca="false">IF(B142="","","200"&amp;TEXT(ROW()-1,"0000000000"))</f>
        <v/>
      </c>
      <c r="D142" s="24"/>
      <c r="E142" s="25" t="n">
        <f aca="false">IF($B142="",0,SUMIF(المبيعات!$D$2:$D$401,$C142,المبيعات!$E$2:$E$401))</f>
        <v>0</v>
      </c>
      <c r="F142" s="25" t="n">
        <f aca="false">IF($B142="",0,SUMIF(المرتجعات!$D$2:$D$301,$C142,المرتجعات!$E$2:$E$301))</f>
        <v>0</v>
      </c>
      <c r="G142" s="21" t="n">
        <f aca="false">D142-E142+F142</f>
        <v>0</v>
      </c>
      <c r="H142" s="26"/>
      <c r="I142" s="27" t="n">
        <f aca="false">G142*H142</f>
        <v>0</v>
      </c>
    </row>
    <row r="143" customFormat="false" ht="15" hidden="false" customHeight="true" outlineLevel="0" collapsed="false">
      <c r="A143" s="21" t="str">
        <f aca="false">IF(B143="","",ROW()-1)</f>
        <v/>
      </c>
      <c r="B143" s="22"/>
      <c r="C143" s="23" t="str">
        <f aca="false">IF(B143="","","200"&amp;TEXT(ROW()-1,"0000000000"))</f>
        <v/>
      </c>
      <c r="D143" s="24"/>
      <c r="E143" s="25" t="n">
        <f aca="false">IF($B143="",0,SUMIF(المبيعات!$D$2:$D$401,$C143,المبيعات!$E$2:$E$401))</f>
        <v>0</v>
      </c>
      <c r="F143" s="25" t="n">
        <f aca="false">IF($B143="",0,SUMIF(المرتجعات!$D$2:$D$301,$C143,المرتجعات!$E$2:$E$301))</f>
        <v>0</v>
      </c>
      <c r="G143" s="21" t="n">
        <f aca="false">D143-E143+F143</f>
        <v>0</v>
      </c>
      <c r="H143" s="26"/>
      <c r="I143" s="27" t="n">
        <f aca="false">G143*H143</f>
        <v>0</v>
      </c>
    </row>
    <row r="144" customFormat="false" ht="15" hidden="false" customHeight="true" outlineLevel="0" collapsed="false">
      <c r="A144" s="21" t="str">
        <f aca="false">IF(B144="","",ROW()-1)</f>
        <v/>
      </c>
      <c r="B144" s="22"/>
      <c r="C144" s="23" t="str">
        <f aca="false">IF(B144="","","200"&amp;TEXT(ROW()-1,"0000000000"))</f>
        <v/>
      </c>
      <c r="D144" s="24"/>
      <c r="E144" s="25" t="n">
        <f aca="false">IF($B144="",0,SUMIF(المبيعات!$D$2:$D$401,$C144,المبيعات!$E$2:$E$401))</f>
        <v>0</v>
      </c>
      <c r="F144" s="25" t="n">
        <f aca="false">IF($B144="",0,SUMIF(المرتجعات!$D$2:$D$301,$C144,المرتجعات!$E$2:$E$301))</f>
        <v>0</v>
      </c>
      <c r="G144" s="21" t="n">
        <f aca="false">D144-E144+F144</f>
        <v>0</v>
      </c>
      <c r="H144" s="26"/>
      <c r="I144" s="27" t="n">
        <f aca="false">G144*H144</f>
        <v>0</v>
      </c>
    </row>
    <row r="145" customFormat="false" ht="15" hidden="false" customHeight="true" outlineLevel="0" collapsed="false">
      <c r="A145" s="21" t="str">
        <f aca="false">IF(B145="","",ROW()-1)</f>
        <v/>
      </c>
      <c r="B145" s="22"/>
      <c r="C145" s="23" t="str">
        <f aca="false">IF(B145="","","200"&amp;TEXT(ROW()-1,"0000000000"))</f>
        <v/>
      </c>
      <c r="D145" s="24"/>
      <c r="E145" s="25" t="n">
        <f aca="false">IF($B145="",0,SUMIF(المبيعات!$D$2:$D$401,$C145,المبيعات!$E$2:$E$401))</f>
        <v>0</v>
      </c>
      <c r="F145" s="25" t="n">
        <f aca="false">IF($B145="",0,SUMIF(المرتجعات!$D$2:$D$301,$C145,المرتجعات!$E$2:$E$301))</f>
        <v>0</v>
      </c>
      <c r="G145" s="21" t="n">
        <f aca="false">D145-E145+F145</f>
        <v>0</v>
      </c>
      <c r="H145" s="26"/>
      <c r="I145" s="27" t="n">
        <f aca="false">G145*H145</f>
        <v>0</v>
      </c>
    </row>
    <row r="146" customFormat="false" ht="15" hidden="false" customHeight="true" outlineLevel="0" collapsed="false">
      <c r="A146" s="21" t="str">
        <f aca="false">IF(B146="","",ROW()-1)</f>
        <v/>
      </c>
      <c r="B146" s="22"/>
      <c r="C146" s="23" t="str">
        <f aca="false">IF(B146="","","200"&amp;TEXT(ROW()-1,"0000000000"))</f>
        <v/>
      </c>
      <c r="D146" s="24"/>
      <c r="E146" s="25" t="n">
        <f aca="false">IF($B146="",0,SUMIF(المبيعات!$D$2:$D$401,$C146,المبيعات!$E$2:$E$401))</f>
        <v>0</v>
      </c>
      <c r="F146" s="25" t="n">
        <f aca="false">IF($B146="",0,SUMIF(المرتجعات!$D$2:$D$301,$C146,المرتجعات!$E$2:$E$301))</f>
        <v>0</v>
      </c>
      <c r="G146" s="21" t="n">
        <f aca="false">D146-E146+F146</f>
        <v>0</v>
      </c>
      <c r="H146" s="26"/>
      <c r="I146" s="27" t="n">
        <f aca="false">G146*H146</f>
        <v>0</v>
      </c>
    </row>
    <row r="147" customFormat="false" ht="15" hidden="false" customHeight="true" outlineLevel="0" collapsed="false">
      <c r="A147" s="21" t="str">
        <f aca="false">IF(B147="","",ROW()-1)</f>
        <v/>
      </c>
      <c r="B147" s="22"/>
      <c r="C147" s="23" t="str">
        <f aca="false">IF(B147="","","200"&amp;TEXT(ROW()-1,"0000000000"))</f>
        <v/>
      </c>
      <c r="D147" s="24"/>
      <c r="E147" s="25" t="n">
        <f aca="false">IF($B147="",0,SUMIF(المبيعات!$D$2:$D$401,$C147,المبيعات!$E$2:$E$401))</f>
        <v>0</v>
      </c>
      <c r="F147" s="25" t="n">
        <f aca="false">IF($B147="",0,SUMIF(المرتجعات!$D$2:$D$301,$C147,المرتجعات!$E$2:$E$301))</f>
        <v>0</v>
      </c>
      <c r="G147" s="21" t="n">
        <f aca="false">D147-E147+F147</f>
        <v>0</v>
      </c>
      <c r="H147" s="26"/>
      <c r="I147" s="27" t="n">
        <f aca="false">G147*H147</f>
        <v>0</v>
      </c>
    </row>
    <row r="148" customFormat="false" ht="15" hidden="false" customHeight="true" outlineLevel="0" collapsed="false">
      <c r="A148" s="21" t="str">
        <f aca="false">IF(B148="","",ROW()-1)</f>
        <v/>
      </c>
      <c r="B148" s="22"/>
      <c r="C148" s="23" t="str">
        <f aca="false">IF(B148="","","200"&amp;TEXT(ROW()-1,"0000000000"))</f>
        <v/>
      </c>
      <c r="D148" s="24"/>
      <c r="E148" s="25" t="n">
        <f aca="false">IF($B148="",0,SUMIF(المبيعات!$D$2:$D$401,$C148,المبيعات!$E$2:$E$401))</f>
        <v>0</v>
      </c>
      <c r="F148" s="25" t="n">
        <f aca="false">IF($B148="",0,SUMIF(المرتجعات!$D$2:$D$301,$C148,المرتجعات!$E$2:$E$301))</f>
        <v>0</v>
      </c>
      <c r="G148" s="21" t="n">
        <f aca="false">D148-E148+F148</f>
        <v>0</v>
      </c>
      <c r="H148" s="26"/>
      <c r="I148" s="27" t="n">
        <f aca="false">G148*H148</f>
        <v>0</v>
      </c>
    </row>
    <row r="149" customFormat="false" ht="15" hidden="false" customHeight="true" outlineLevel="0" collapsed="false">
      <c r="A149" s="21" t="str">
        <f aca="false">IF(B149="","",ROW()-1)</f>
        <v/>
      </c>
      <c r="B149" s="22"/>
      <c r="C149" s="23" t="str">
        <f aca="false">IF(B149="","","200"&amp;TEXT(ROW()-1,"0000000000"))</f>
        <v/>
      </c>
      <c r="D149" s="24"/>
      <c r="E149" s="25" t="n">
        <f aca="false">IF($B149="",0,SUMIF(المبيعات!$D$2:$D$401,$C149,المبيعات!$E$2:$E$401))</f>
        <v>0</v>
      </c>
      <c r="F149" s="25" t="n">
        <f aca="false">IF($B149="",0,SUMIF(المرتجعات!$D$2:$D$301,$C149,المرتجعات!$E$2:$E$301))</f>
        <v>0</v>
      </c>
      <c r="G149" s="21" t="n">
        <f aca="false">D149-E149+F149</f>
        <v>0</v>
      </c>
      <c r="H149" s="26"/>
      <c r="I149" s="27" t="n">
        <f aca="false">G149*H149</f>
        <v>0</v>
      </c>
    </row>
    <row r="150" customFormat="false" ht="15" hidden="false" customHeight="true" outlineLevel="0" collapsed="false">
      <c r="A150" s="21" t="str">
        <f aca="false">IF(B150="","",ROW()-1)</f>
        <v/>
      </c>
      <c r="B150" s="22"/>
      <c r="C150" s="23" t="str">
        <f aca="false">IF(B150="","","200"&amp;TEXT(ROW()-1,"0000000000"))</f>
        <v/>
      </c>
      <c r="D150" s="24"/>
      <c r="E150" s="25" t="n">
        <f aca="false">IF($B150="",0,SUMIF(المبيعات!$D$2:$D$401,$C150,المبيعات!$E$2:$E$401))</f>
        <v>0</v>
      </c>
      <c r="F150" s="25" t="n">
        <f aca="false">IF($B150="",0,SUMIF(المرتجعات!$D$2:$D$301,$C150,المرتجعات!$E$2:$E$301))</f>
        <v>0</v>
      </c>
      <c r="G150" s="21" t="n">
        <f aca="false">D150-E150+F150</f>
        <v>0</v>
      </c>
      <c r="H150" s="26"/>
      <c r="I150" s="27" t="n">
        <f aca="false">G150*H150</f>
        <v>0</v>
      </c>
    </row>
    <row r="151" customFormat="false" ht="15" hidden="false" customHeight="true" outlineLevel="0" collapsed="false">
      <c r="A151" s="21" t="str">
        <f aca="false">IF(B151="","",ROW()-1)</f>
        <v/>
      </c>
      <c r="B151" s="22"/>
      <c r="C151" s="23" t="str">
        <f aca="false">IF(B151="","","200"&amp;TEXT(ROW()-1,"0000000000"))</f>
        <v/>
      </c>
      <c r="D151" s="24"/>
      <c r="E151" s="25" t="n">
        <f aca="false">IF($B151="",0,SUMIF(المبيعات!$D$2:$D$401,$C151,المبيعات!$E$2:$E$401))</f>
        <v>0</v>
      </c>
      <c r="F151" s="25" t="n">
        <f aca="false">IF($B151="",0,SUMIF(المرتجعات!$D$2:$D$301,$C151,المرتجعات!$E$2:$E$301))</f>
        <v>0</v>
      </c>
      <c r="G151" s="21" t="n">
        <f aca="false">D151-E151+F151</f>
        <v>0</v>
      </c>
      <c r="H151" s="26"/>
      <c r="I151" s="27" t="n">
        <f aca="false">G151*H151</f>
        <v>0</v>
      </c>
    </row>
    <row r="152" customFormat="false" ht="15" hidden="false" customHeight="true" outlineLevel="0" collapsed="false">
      <c r="A152" s="21" t="str">
        <f aca="false">IF(B152="","",ROW()-1)</f>
        <v/>
      </c>
      <c r="B152" s="22"/>
      <c r="C152" s="23" t="str">
        <f aca="false">IF(B152="","","200"&amp;TEXT(ROW()-1,"0000000000"))</f>
        <v/>
      </c>
      <c r="D152" s="24"/>
      <c r="E152" s="25" t="n">
        <f aca="false">IF($B152="",0,SUMIF(المبيعات!$D$2:$D$401,$C152,المبيعات!$E$2:$E$401))</f>
        <v>0</v>
      </c>
      <c r="F152" s="25" t="n">
        <f aca="false">IF($B152="",0,SUMIF(المرتجعات!$D$2:$D$301,$C152,المرتجعات!$E$2:$E$301))</f>
        <v>0</v>
      </c>
      <c r="G152" s="21" t="n">
        <f aca="false">D152-E152+F152</f>
        <v>0</v>
      </c>
      <c r="H152" s="26"/>
      <c r="I152" s="27" t="n">
        <f aca="false">G152*H152</f>
        <v>0</v>
      </c>
    </row>
    <row r="153" customFormat="false" ht="15" hidden="false" customHeight="true" outlineLevel="0" collapsed="false">
      <c r="A153" s="21" t="str">
        <f aca="false">IF(B153="","",ROW()-1)</f>
        <v/>
      </c>
      <c r="B153" s="22"/>
      <c r="C153" s="23" t="str">
        <f aca="false">IF(B153="","","200"&amp;TEXT(ROW()-1,"0000000000"))</f>
        <v/>
      </c>
      <c r="D153" s="24"/>
      <c r="E153" s="25" t="n">
        <f aca="false">IF($B153="",0,SUMIF(المبيعات!$D$2:$D$401,$C153,المبيعات!$E$2:$E$401))</f>
        <v>0</v>
      </c>
      <c r="F153" s="25" t="n">
        <f aca="false">IF($B153="",0,SUMIF(المرتجعات!$D$2:$D$301,$C153,المرتجعات!$E$2:$E$301))</f>
        <v>0</v>
      </c>
      <c r="G153" s="21" t="n">
        <f aca="false">D153-E153+F153</f>
        <v>0</v>
      </c>
      <c r="H153" s="26"/>
      <c r="I153" s="27" t="n">
        <f aca="false">G153*H153</f>
        <v>0</v>
      </c>
    </row>
    <row r="154" customFormat="false" ht="15" hidden="false" customHeight="true" outlineLevel="0" collapsed="false">
      <c r="A154" s="21" t="str">
        <f aca="false">IF(B154="","",ROW()-1)</f>
        <v/>
      </c>
      <c r="B154" s="22"/>
      <c r="C154" s="23" t="str">
        <f aca="false">IF(B154="","","200"&amp;TEXT(ROW()-1,"0000000000"))</f>
        <v/>
      </c>
      <c r="D154" s="24"/>
      <c r="E154" s="25" t="n">
        <f aca="false">IF($B154="",0,SUMIF(المبيعات!$D$2:$D$401,$C154,المبيعات!$E$2:$E$401))</f>
        <v>0</v>
      </c>
      <c r="F154" s="25" t="n">
        <f aca="false">IF($B154="",0,SUMIF(المرتجعات!$D$2:$D$301,$C154,المرتجعات!$E$2:$E$301))</f>
        <v>0</v>
      </c>
      <c r="G154" s="21" t="n">
        <f aca="false">D154-E154+F154</f>
        <v>0</v>
      </c>
      <c r="H154" s="26"/>
      <c r="I154" s="27" t="n">
        <f aca="false">G154*H154</f>
        <v>0</v>
      </c>
    </row>
    <row r="155" customFormat="false" ht="15" hidden="false" customHeight="true" outlineLevel="0" collapsed="false">
      <c r="A155" s="21" t="str">
        <f aca="false">IF(B155="","",ROW()-1)</f>
        <v/>
      </c>
      <c r="B155" s="22"/>
      <c r="C155" s="23" t="str">
        <f aca="false">IF(B155="","","200"&amp;TEXT(ROW()-1,"0000000000"))</f>
        <v/>
      </c>
      <c r="D155" s="24"/>
      <c r="E155" s="25" t="n">
        <f aca="false">IF($B155="",0,SUMIF(المبيعات!$D$2:$D$401,$C155,المبيعات!$E$2:$E$401))</f>
        <v>0</v>
      </c>
      <c r="F155" s="25" t="n">
        <f aca="false">IF($B155="",0,SUMIF(المرتجعات!$D$2:$D$301,$C155,المرتجعات!$E$2:$E$301))</f>
        <v>0</v>
      </c>
      <c r="G155" s="21" t="n">
        <f aca="false">D155-E155+F155</f>
        <v>0</v>
      </c>
      <c r="H155" s="26"/>
      <c r="I155" s="27" t="n">
        <f aca="false">G155*H155</f>
        <v>0</v>
      </c>
    </row>
    <row r="156" customFormat="false" ht="15" hidden="false" customHeight="true" outlineLevel="0" collapsed="false">
      <c r="A156" s="21" t="str">
        <f aca="false">IF(B156="","",ROW()-1)</f>
        <v/>
      </c>
      <c r="B156" s="22"/>
      <c r="C156" s="23" t="str">
        <f aca="false">IF(B156="","","200"&amp;TEXT(ROW()-1,"0000000000"))</f>
        <v/>
      </c>
      <c r="D156" s="24"/>
      <c r="E156" s="25" t="n">
        <f aca="false">IF($B156="",0,SUMIF(المبيعات!$D$2:$D$401,$C156,المبيعات!$E$2:$E$401))</f>
        <v>0</v>
      </c>
      <c r="F156" s="25" t="n">
        <f aca="false">IF($B156="",0,SUMIF(المرتجعات!$D$2:$D$301,$C156,المرتجعات!$E$2:$E$301))</f>
        <v>0</v>
      </c>
      <c r="G156" s="21" t="n">
        <f aca="false">D156-E156+F156</f>
        <v>0</v>
      </c>
      <c r="H156" s="26"/>
      <c r="I156" s="27" t="n">
        <f aca="false">G156*H156</f>
        <v>0</v>
      </c>
    </row>
    <row r="157" customFormat="false" ht="15" hidden="false" customHeight="true" outlineLevel="0" collapsed="false">
      <c r="A157" s="21" t="str">
        <f aca="false">IF(B157="","",ROW()-1)</f>
        <v/>
      </c>
      <c r="B157" s="22"/>
      <c r="C157" s="23" t="str">
        <f aca="false">IF(B157="","","200"&amp;TEXT(ROW()-1,"0000000000"))</f>
        <v/>
      </c>
      <c r="D157" s="24"/>
      <c r="E157" s="25" t="n">
        <f aca="false">IF($B157="",0,SUMIF(المبيعات!$D$2:$D$401,$C157,المبيعات!$E$2:$E$401))</f>
        <v>0</v>
      </c>
      <c r="F157" s="25" t="n">
        <f aca="false">IF($B157="",0,SUMIF(المرتجعات!$D$2:$D$301,$C157,المرتجعات!$E$2:$E$301))</f>
        <v>0</v>
      </c>
      <c r="G157" s="21" t="n">
        <f aca="false">D157-E157+F157</f>
        <v>0</v>
      </c>
      <c r="H157" s="26"/>
      <c r="I157" s="27" t="n">
        <f aca="false">G157*H157</f>
        <v>0</v>
      </c>
    </row>
    <row r="158" customFormat="false" ht="15" hidden="false" customHeight="true" outlineLevel="0" collapsed="false">
      <c r="A158" s="21" t="str">
        <f aca="false">IF(B158="","",ROW()-1)</f>
        <v/>
      </c>
      <c r="B158" s="22"/>
      <c r="C158" s="23" t="str">
        <f aca="false">IF(B158="","","200"&amp;TEXT(ROW()-1,"0000000000"))</f>
        <v/>
      </c>
      <c r="D158" s="24"/>
      <c r="E158" s="25" t="n">
        <f aca="false">IF($B158="",0,SUMIF(المبيعات!$D$2:$D$401,$C158,المبيعات!$E$2:$E$401))</f>
        <v>0</v>
      </c>
      <c r="F158" s="25" t="n">
        <f aca="false">IF($B158="",0,SUMIF(المرتجعات!$D$2:$D$301,$C158,المرتجعات!$E$2:$E$301))</f>
        <v>0</v>
      </c>
      <c r="G158" s="21" t="n">
        <f aca="false">D158-E158+F158</f>
        <v>0</v>
      </c>
      <c r="H158" s="26"/>
      <c r="I158" s="27" t="n">
        <f aca="false">G158*H158</f>
        <v>0</v>
      </c>
    </row>
    <row r="159" customFormat="false" ht="15" hidden="false" customHeight="true" outlineLevel="0" collapsed="false">
      <c r="A159" s="21" t="str">
        <f aca="false">IF(B159="","",ROW()-1)</f>
        <v/>
      </c>
      <c r="B159" s="22"/>
      <c r="C159" s="23" t="str">
        <f aca="false">IF(B159="","","200"&amp;TEXT(ROW()-1,"0000000000"))</f>
        <v/>
      </c>
      <c r="D159" s="24"/>
      <c r="E159" s="25" t="n">
        <f aca="false">IF($B159="",0,SUMIF(المبيعات!$D$2:$D$401,$C159,المبيعات!$E$2:$E$401))</f>
        <v>0</v>
      </c>
      <c r="F159" s="25" t="n">
        <f aca="false">IF($B159="",0,SUMIF(المرتجعات!$D$2:$D$301,$C159,المرتجعات!$E$2:$E$301))</f>
        <v>0</v>
      </c>
      <c r="G159" s="21" t="n">
        <f aca="false">D159-E159+F159</f>
        <v>0</v>
      </c>
      <c r="H159" s="26"/>
      <c r="I159" s="27" t="n">
        <f aca="false">G159*H159</f>
        <v>0</v>
      </c>
    </row>
    <row r="160" customFormat="false" ht="15" hidden="false" customHeight="true" outlineLevel="0" collapsed="false">
      <c r="A160" s="21" t="str">
        <f aca="false">IF(B160="","",ROW()-1)</f>
        <v/>
      </c>
      <c r="B160" s="22"/>
      <c r="C160" s="23" t="str">
        <f aca="false">IF(B160="","","200"&amp;TEXT(ROW()-1,"0000000000"))</f>
        <v/>
      </c>
      <c r="D160" s="24"/>
      <c r="E160" s="25" t="n">
        <f aca="false">IF($B160="",0,SUMIF(المبيعات!$D$2:$D$401,$C160,المبيعات!$E$2:$E$401))</f>
        <v>0</v>
      </c>
      <c r="F160" s="25" t="n">
        <f aca="false">IF($B160="",0,SUMIF(المرتجعات!$D$2:$D$301,$C160,المرتجعات!$E$2:$E$301))</f>
        <v>0</v>
      </c>
      <c r="G160" s="21" t="n">
        <f aca="false">D160-E160+F160</f>
        <v>0</v>
      </c>
      <c r="H160" s="26"/>
      <c r="I160" s="27" t="n">
        <f aca="false">G160*H160</f>
        <v>0</v>
      </c>
    </row>
    <row r="161" customFormat="false" ht="15" hidden="false" customHeight="true" outlineLevel="0" collapsed="false">
      <c r="A161" s="21" t="str">
        <f aca="false">IF(B161="","",ROW()-1)</f>
        <v/>
      </c>
      <c r="B161" s="22"/>
      <c r="C161" s="23" t="str">
        <f aca="false">IF(B161="","","200"&amp;TEXT(ROW()-1,"0000000000"))</f>
        <v/>
      </c>
      <c r="D161" s="24"/>
      <c r="E161" s="25" t="n">
        <f aca="false">IF($B161="",0,SUMIF(المبيعات!$D$2:$D$401,$C161,المبيعات!$E$2:$E$401))</f>
        <v>0</v>
      </c>
      <c r="F161" s="25" t="n">
        <f aca="false">IF($B161="",0,SUMIF(المرتجعات!$D$2:$D$301,$C161,المرتجعات!$E$2:$E$301))</f>
        <v>0</v>
      </c>
      <c r="G161" s="21" t="n">
        <f aca="false">D161-E161+F161</f>
        <v>0</v>
      </c>
      <c r="H161" s="26"/>
      <c r="I161" s="27" t="n">
        <f aca="false">G161*H161</f>
        <v>0</v>
      </c>
    </row>
    <row r="162" customFormat="false" ht="15" hidden="false" customHeight="true" outlineLevel="0" collapsed="false">
      <c r="A162" s="21" t="str">
        <f aca="false">IF(B162="","",ROW()-1)</f>
        <v/>
      </c>
      <c r="B162" s="22"/>
      <c r="C162" s="23" t="str">
        <f aca="false">IF(B162="","","200"&amp;TEXT(ROW()-1,"0000000000"))</f>
        <v/>
      </c>
      <c r="D162" s="24"/>
      <c r="E162" s="25" t="n">
        <f aca="false">IF($B162="",0,SUMIF(المبيعات!$D$2:$D$401,$C162,المبيعات!$E$2:$E$401))</f>
        <v>0</v>
      </c>
      <c r="F162" s="25" t="n">
        <f aca="false">IF($B162="",0,SUMIF(المرتجعات!$D$2:$D$301,$C162,المرتجعات!$E$2:$E$301))</f>
        <v>0</v>
      </c>
      <c r="G162" s="21" t="n">
        <f aca="false">D162-E162+F162</f>
        <v>0</v>
      </c>
      <c r="H162" s="26"/>
      <c r="I162" s="27" t="n">
        <f aca="false">G162*H162</f>
        <v>0</v>
      </c>
    </row>
    <row r="163" customFormat="false" ht="15" hidden="false" customHeight="true" outlineLevel="0" collapsed="false">
      <c r="A163" s="21" t="str">
        <f aca="false">IF(B163="","",ROW()-1)</f>
        <v/>
      </c>
      <c r="B163" s="22"/>
      <c r="C163" s="23" t="str">
        <f aca="false">IF(B163="","","200"&amp;TEXT(ROW()-1,"0000000000"))</f>
        <v/>
      </c>
      <c r="D163" s="24"/>
      <c r="E163" s="25" t="n">
        <f aca="false">IF($B163="",0,SUMIF(المبيعات!$D$2:$D$401,$C163,المبيعات!$E$2:$E$401))</f>
        <v>0</v>
      </c>
      <c r="F163" s="25" t="n">
        <f aca="false">IF($B163="",0,SUMIF(المرتجعات!$D$2:$D$301,$C163,المرتجعات!$E$2:$E$301))</f>
        <v>0</v>
      </c>
      <c r="G163" s="21" t="n">
        <f aca="false">D163-E163+F163</f>
        <v>0</v>
      </c>
      <c r="H163" s="26"/>
      <c r="I163" s="27" t="n">
        <f aca="false">G163*H163</f>
        <v>0</v>
      </c>
    </row>
    <row r="164" customFormat="false" ht="15" hidden="false" customHeight="true" outlineLevel="0" collapsed="false">
      <c r="A164" s="21" t="str">
        <f aca="false">IF(B164="","",ROW()-1)</f>
        <v/>
      </c>
      <c r="B164" s="22"/>
      <c r="C164" s="23" t="str">
        <f aca="false">IF(B164="","","200"&amp;TEXT(ROW()-1,"0000000000"))</f>
        <v/>
      </c>
      <c r="D164" s="24"/>
      <c r="E164" s="25" t="n">
        <f aca="false">IF($B164="",0,SUMIF(المبيعات!$D$2:$D$401,$C164,المبيعات!$E$2:$E$401))</f>
        <v>0</v>
      </c>
      <c r="F164" s="25" t="n">
        <f aca="false">IF($B164="",0,SUMIF(المرتجعات!$D$2:$D$301,$C164,المرتجعات!$E$2:$E$301))</f>
        <v>0</v>
      </c>
      <c r="G164" s="21" t="n">
        <f aca="false">D164-E164+F164</f>
        <v>0</v>
      </c>
      <c r="H164" s="26"/>
      <c r="I164" s="27" t="n">
        <f aca="false">G164*H164</f>
        <v>0</v>
      </c>
    </row>
    <row r="165" customFormat="false" ht="15" hidden="false" customHeight="true" outlineLevel="0" collapsed="false">
      <c r="A165" s="21" t="str">
        <f aca="false">IF(B165="","",ROW()-1)</f>
        <v/>
      </c>
      <c r="B165" s="22"/>
      <c r="C165" s="23" t="str">
        <f aca="false">IF(B165="","","200"&amp;TEXT(ROW()-1,"0000000000"))</f>
        <v/>
      </c>
      <c r="D165" s="24"/>
      <c r="E165" s="25" t="n">
        <f aca="false">IF($B165="",0,SUMIF(المبيعات!$D$2:$D$401,$C165,المبيعات!$E$2:$E$401))</f>
        <v>0</v>
      </c>
      <c r="F165" s="25" t="n">
        <f aca="false">IF($B165="",0,SUMIF(المرتجعات!$D$2:$D$301,$C165,المرتجعات!$E$2:$E$301))</f>
        <v>0</v>
      </c>
      <c r="G165" s="21" t="n">
        <f aca="false">D165-E165+F165</f>
        <v>0</v>
      </c>
      <c r="H165" s="26"/>
      <c r="I165" s="27" t="n">
        <f aca="false">G165*H165</f>
        <v>0</v>
      </c>
    </row>
    <row r="166" customFormat="false" ht="15" hidden="false" customHeight="true" outlineLevel="0" collapsed="false">
      <c r="A166" s="21" t="str">
        <f aca="false">IF(B166="","",ROW()-1)</f>
        <v/>
      </c>
      <c r="B166" s="22"/>
      <c r="C166" s="23" t="str">
        <f aca="false">IF(B166="","","200"&amp;TEXT(ROW()-1,"0000000000"))</f>
        <v/>
      </c>
      <c r="D166" s="24"/>
      <c r="E166" s="25" t="n">
        <f aca="false">IF($B166="",0,SUMIF(المبيعات!$D$2:$D$401,$C166,المبيعات!$E$2:$E$401))</f>
        <v>0</v>
      </c>
      <c r="F166" s="25" t="n">
        <f aca="false">IF($B166="",0,SUMIF(المرتجعات!$D$2:$D$301,$C166,المرتجعات!$E$2:$E$301))</f>
        <v>0</v>
      </c>
      <c r="G166" s="21" t="n">
        <f aca="false">D166-E166+F166</f>
        <v>0</v>
      </c>
      <c r="H166" s="26"/>
      <c r="I166" s="27" t="n">
        <f aca="false">G166*H166</f>
        <v>0</v>
      </c>
    </row>
    <row r="167" customFormat="false" ht="15" hidden="false" customHeight="true" outlineLevel="0" collapsed="false">
      <c r="A167" s="21" t="str">
        <f aca="false">IF(B167="","",ROW()-1)</f>
        <v/>
      </c>
      <c r="B167" s="22"/>
      <c r="C167" s="23" t="str">
        <f aca="false">IF(B167="","","200"&amp;TEXT(ROW()-1,"0000000000"))</f>
        <v/>
      </c>
      <c r="D167" s="24"/>
      <c r="E167" s="25" t="n">
        <f aca="false">IF($B167="",0,SUMIF(المبيعات!$D$2:$D$401,$C167,المبيعات!$E$2:$E$401))</f>
        <v>0</v>
      </c>
      <c r="F167" s="25" t="n">
        <f aca="false">IF($B167="",0,SUMIF(المرتجعات!$D$2:$D$301,$C167,المرتجعات!$E$2:$E$301))</f>
        <v>0</v>
      </c>
      <c r="G167" s="21" t="n">
        <f aca="false">D167-E167+F167</f>
        <v>0</v>
      </c>
      <c r="H167" s="26"/>
      <c r="I167" s="27" t="n">
        <f aca="false">G167*H167</f>
        <v>0</v>
      </c>
    </row>
    <row r="168" customFormat="false" ht="15" hidden="false" customHeight="true" outlineLevel="0" collapsed="false">
      <c r="A168" s="21" t="str">
        <f aca="false">IF(B168="","",ROW()-1)</f>
        <v/>
      </c>
      <c r="B168" s="22"/>
      <c r="C168" s="23" t="str">
        <f aca="false">IF(B168="","","200"&amp;TEXT(ROW()-1,"0000000000"))</f>
        <v/>
      </c>
      <c r="D168" s="24"/>
      <c r="E168" s="25" t="n">
        <f aca="false">IF($B168="",0,SUMIF(المبيعات!$D$2:$D$401,$C168,المبيعات!$E$2:$E$401))</f>
        <v>0</v>
      </c>
      <c r="F168" s="25" t="n">
        <f aca="false">IF($B168="",0,SUMIF(المرتجعات!$D$2:$D$301,$C168,المرتجعات!$E$2:$E$301))</f>
        <v>0</v>
      </c>
      <c r="G168" s="21" t="n">
        <f aca="false">D168-E168+F168</f>
        <v>0</v>
      </c>
      <c r="H168" s="26"/>
      <c r="I168" s="27" t="n">
        <f aca="false">G168*H168</f>
        <v>0</v>
      </c>
    </row>
    <row r="169" customFormat="false" ht="15" hidden="false" customHeight="true" outlineLevel="0" collapsed="false">
      <c r="A169" s="21" t="str">
        <f aca="false">IF(B169="","",ROW()-1)</f>
        <v/>
      </c>
      <c r="B169" s="22"/>
      <c r="C169" s="23" t="str">
        <f aca="false">IF(B169="","","200"&amp;TEXT(ROW()-1,"0000000000"))</f>
        <v/>
      </c>
      <c r="D169" s="24"/>
      <c r="E169" s="25" t="n">
        <f aca="false">IF($B169="",0,SUMIF(المبيعات!$D$2:$D$401,$C169,المبيعات!$E$2:$E$401))</f>
        <v>0</v>
      </c>
      <c r="F169" s="25" t="n">
        <f aca="false">IF($B169="",0,SUMIF(المرتجعات!$D$2:$D$301,$C169,المرتجعات!$E$2:$E$301))</f>
        <v>0</v>
      </c>
      <c r="G169" s="21" t="n">
        <f aca="false">D169-E169+F169</f>
        <v>0</v>
      </c>
      <c r="H169" s="26"/>
      <c r="I169" s="27" t="n">
        <f aca="false">G169*H169</f>
        <v>0</v>
      </c>
    </row>
    <row r="170" customFormat="false" ht="15" hidden="false" customHeight="true" outlineLevel="0" collapsed="false">
      <c r="A170" s="21" t="str">
        <f aca="false">IF(B170="","",ROW()-1)</f>
        <v/>
      </c>
      <c r="B170" s="22"/>
      <c r="C170" s="23" t="str">
        <f aca="false">IF(B170="","","200"&amp;TEXT(ROW()-1,"0000000000"))</f>
        <v/>
      </c>
      <c r="D170" s="24"/>
      <c r="E170" s="25" t="n">
        <f aca="false">IF($B170="",0,SUMIF(المبيعات!$D$2:$D$401,$C170,المبيعات!$E$2:$E$401))</f>
        <v>0</v>
      </c>
      <c r="F170" s="25" t="n">
        <f aca="false">IF($B170="",0,SUMIF(المرتجعات!$D$2:$D$301,$C170,المرتجعات!$E$2:$E$301))</f>
        <v>0</v>
      </c>
      <c r="G170" s="21" t="n">
        <f aca="false">D170-E170+F170</f>
        <v>0</v>
      </c>
      <c r="H170" s="26"/>
      <c r="I170" s="27" t="n">
        <f aca="false">G170*H170</f>
        <v>0</v>
      </c>
    </row>
    <row r="171" customFormat="false" ht="15" hidden="false" customHeight="true" outlineLevel="0" collapsed="false">
      <c r="A171" s="21" t="str">
        <f aca="false">IF(B171="","",ROW()-1)</f>
        <v/>
      </c>
      <c r="B171" s="22"/>
      <c r="C171" s="23" t="str">
        <f aca="false">IF(B171="","","200"&amp;TEXT(ROW()-1,"0000000000"))</f>
        <v/>
      </c>
      <c r="D171" s="24"/>
      <c r="E171" s="25" t="n">
        <f aca="false">IF($B171="",0,SUMIF(المبيعات!$D$2:$D$401,$C171,المبيعات!$E$2:$E$401))</f>
        <v>0</v>
      </c>
      <c r="F171" s="25" t="n">
        <f aca="false">IF($B171="",0,SUMIF(المرتجعات!$D$2:$D$301,$C171,المرتجعات!$E$2:$E$301))</f>
        <v>0</v>
      </c>
      <c r="G171" s="21" t="n">
        <f aca="false">D171-E171+F171</f>
        <v>0</v>
      </c>
      <c r="H171" s="26"/>
      <c r="I171" s="27" t="n">
        <f aca="false">G171*H171</f>
        <v>0</v>
      </c>
    </row>
    <row r="172" customFormat="false" ht="15" hidden="false" customHeight="true" outlineLevel="0" collapsed="false">
      <c r="A172" s="21" t="str">
        <f aca="false">IF(B172="","",ROW()-1)</f>
        <v/>
      </c>
      <c r="B172" s="22"/>
      <c r="C172" s="23" t="str">
        <f aca="false">IF(B172="","","200"&amp;TEXT(ROW()-1,"0000000000"))</f>
        <v/>
      </c>
      <c r="D172" s="24"/>
      <c r="E172" s="25" t="n">
        <f aca="false">IF($B172="",0,SUMIF(المبيعات!$D$2:$D$401,$C172,المبيعات!$E$2:$E$401))</f>
        <v>0</v>
      </c>
      <c r="F172" s="25" t="n">
        <f aca="false">IF($B172="",0,SUMIF(المرتجعات!$D$2:$D$301,$C172,المرتجعات!$E$2:$E$301))</f>
        <v>0</v>
      </c>
      <c r="G172" s="21" t="n">
        <f aca="false">D172-E172+F172</f>
        <v>0</v>
      </c>
      <c r="H172" s="26"/>
      <c r="I172" s="27" t="n">
        <f aca="false">G172*H172</f>
        <v>0</v>
      </c>
    </row>
    <row r="173" customFormat="false" ht="15" hidden="false" customHeight="true" outlineLevel="0" collapsed="false">
      <c r="A173" s="21" t="str">
        <f aca="false">IF(B173="","",ROW()-1)</f>
        <v/>
      </c>
      <c r="B173" s="22"/>
      <c r="C173" s="23" t="str">
        <f aca="false">IF(B173="","","200"&amp;TEXT(ROW()-1,"0000000000"))</f>
        <v/>
      </c>
      <c r="D173" s="24"/>
      <c r="E173" s="25" t="n">
        <f aca="false">IF($B173="",0,SUMIF(المبيعات!$D$2:$D$401,$C173,المبيعات!$E$2:$E$401))</f>
        <v>0</v>
      </c>
      <c r="F173" s="25" t="n">
        <f aca="false">IF($B173="",0,SUMIF(المرتجعات!$D$2:$D$301,$C173,المرتجعات!$E$2:$E$301))</f>
        <v>0</v>
      </c>
      <c r="G173" s="21" t="n">
        <f aca="false">D173-E173+F173</f>
        <v>0</v>
      </c>
      <c r="H173" s="26"/>
      <c r="I173" s="27" t="n">
        <f aca="false">G173*H173</f>
        <v>0</v>
      </c>
    </row>
    <row r="174" customFormat="false" ht="15" hidden="false" customHeight="true" outlineLevel="0" collapsed="false">
      <c r="A174" s="21" t="str">
        <f aca="false">IF(B174="","",ROW()-1)</f>
        <v/>
      </c>
      <c r="B174" s="22"/>
      <c r="C174" s="23" t="str">
        <f aca="false">IF(B174="","","200"&amp;TEXT(ROW()-1,"0000000000"))</f>
        <v/>
      </c>
      <c r="D174" s="24"/>
      <c r="E174" s="25" t="n">
        <f aca="false">IF($B174="",0,SUMIF(المبيعات!$D$2:$D$401,$C174,المبيعات!$E$2:$E$401))</f>
        <v>0</v>
      </c>
      <c r="F174" s="25" t="n">
        <f aca="false">IF($B174="",0,SUMIF(المرتجعات!$D$2:$D$301,$C174,المرتجعات!$E$2:$E$301))</f>
        <v>0</v>
      </c>
      <c r="G174" s="21" t="n">
        <f aca="false">D174-E174+F174</f>
        <v>0</v>
      </c>
      <c r="H174" s="26"/>
      <c r="I174" s="27" t="n">
        <f aca="false">G174*H174</f>
        <v>0</v>
      </c>
    </row>
    <row r="175" customFormat="false" ht="15" hidden="false" customHeight="true" outlineLevel="0" collapsed="false">
      <c r="A175" s="21" t="str">
        <f aca="false">IF(B175="","",ROW()-1)</f>
        <v/>
      </c>
      <c r="B175" s="22"/>
      <c r="C175" s="23" t="str">
        <f aca="false">IF(B175="","","200"&amp;TEXT(ROW()-1,"0000000000"))</f>
        <v/>
      </c>
      <c r="D175" s="24"/>
      <c r="E175" s="25" t="n">
        <f aca="false">IF($B175="",0,SUMIF(المبيعات!$D$2:$D$401,$C175,المبيعات!$E$2:$E$401))</f>
        <v>0</v>
      </c>
      <c r="F175" s="25" t="n">
        <f aca="false">IF($B175="",0,SUMIF(المرتجعات!$D$2:$D$301,$C175,المرتجعات!$E$2:$E$301))</f>
        <v>0</v>
      </c>
      <c r="G175" s="21" t="n">
        <f aca="false">D175-E175+F175</f>
        <v>0</v>
      </c>
      <c r="H175" s="26"/>
      <c r="I175" s="27" t="n">
        <f aca="false">G175*H175</f>
        <v>0</v>
      </c>
    </row>
    <row r="176" customFormat="false" ht="15" hidden="false" customHeight="true" outlineLevel="0" collapsed="false">
      <c r="A176" s="21" t="str">
        <f aca="false">IF(B176="","",ROW()-1)</f>
        <v/>
      </c>
      <c r="B176" s="22"/>
      <c r="C176" s="23" t="str">
        <f aca="false">IF(B176="","","200"&amp;TEXT(ROW()-1,"0000000000"))</f>
        <v/>
      </c>
      <c r="D176" s="24"/>
      <c r="E176" s="25" t="n">
        <f aca="false">IF($B176="",0,SUMIF(المبيعات!$D$2:$D$401,$C176,المبيعات!$E$2:$E$401))</f>
        <v>0</v>
      </c>
      <c r="F176" s="25" t="n">
        <f aca="false">IF($B176="",0,SUMIF(المرتجعات!$D$2:$D$301,$C176,المرتجعات!$E$2:$E$301))</f>
        <v>0</v>
      </c>
      <c r="G176" s="21" t="n">
        <f aca="false">D176-E176+F176</f>
        <v>0</v>
      </c>
      <c r="H176" s="26"/>
      <c r="I176" s="27" t="n">
        <f aca="false">G176*H176</f>
        <v>0</v>
      </c>
    </row>
    <row r="177" customFormat="false" ht="15" hidden="false" customHeight="true" outlineLevel="0" collapsed="false">
      <c r="A177" s="21" t="str">
        <f aca="false">IF(B177="","",ROW()-1)</f>
        <v/>
      </c>
      <c r="B177" s="22"/>
      <c r="C177" s="23" t="str">
        <f aca="false">IF(B177="","","200"&amp;TEXT(ROW()-1,"0000000000"))</f>
        <v/>
      </c>
      <c r="D177" s="24"/>
      <c r="E177" s="25" t="n">
        <f aca="false">IF($B177="",0,SUMIF(المبيعات!$D$2:$D$401,$C177,المبيعات!$E$2:$E$401))</f>
        <v>0</v>
      </c>
      <c r="F177" s="25" t="n">
        <f aca="false">IF($B177="",0,SUMIF(المرتجعات!$D$2:$D$301,$C177,المرتجعات!$E$2:$E$301))</f>
        <v>0</v>
      </c>
      <c r="G177" s="21" t="n">
        <f aca="false">D177-E177+F177</f>
        <v>0</v>
      </c>
      <c r="H177" s="26"/>
      <c r="I177" s="27" t="n">
        <f aca="false">G177*H177</f>
        <v>0</v>
      </c>
    </row>
    <row r="178" customFormat="false" ht="15" hidden="false" customHeight="true" outlineLevel="0" collapsed="false">
      <c r="A178" s="21" t="str">
        <f aca="false">IF(B178="","",ROW()-1)</f>
        <v/>
      </c>
      <c r="B178" s="22"/>
      <c r="C178" s="23" t="str">
        <f aca="false">IF(B178="","","200"&amp;TEXT(ROW()-1,"0000000000"))</f>
        <v/>
      </c>
      <c r="D178" s="24"/>
      <c r="E178" s="25" t="n">
        <f aca="false">IF($B178="",0,SUMIF(المبيعات!$D$2:$D$401,$C178,المبيعات!$E$2:$E$401))</f>
        <v>0</v>
      </c>
      <c r="F178" s="25" t="n">
        <f aca="false">IF($B178="",0,SUMIF(المرتجعات!$D$2:$D$301,$C178,المرتجعات!$E$2:$E$301))</f>
        <v>0</v>
      </c>
      <c r="G178" s="21" t="n">
        <f aca="false">D178-E178+F178</f>
        <v>0</v>
      </c>
      <c r="H178" s="26"/>
      <c r="I178" s="27" t="n">
        <f aca="false">G178*H178</f>
        <v>0</v>
      </c>
    </row>
    <row r="179" customFormat="false" ht="15" hidden="false" customHeight="true" outlineLevel="0" collapsed="false">
      <c r="A179" s="21" t="str">
        <f aca="false">IF(B179="","",ROW()-1)</f>
        <v/>
      </c>
      <c r="B179" s="22"/>
      <c r="C179" s="23" t="str">
        <f aca="false">IF(B179="","","200"&amp;TEXT(ROW()-1,"0000000000"))</f>
        <v/>
      </c>
      <c r="D179" s="24"/>
      <c r="E179" s="25" t="n">
        <f aca="false">IF($B179="",0,SUMIF(المبيعات!$D$2:$D$401,$C179,المبيعات!$E$2:$E$401))</f>
        <v>0</v>
      </c>
      <c r="F179" s="25" t="n">
        <f aca="false">IF($B179="",0,SUMIF(المرتجعات!$D$2:$D$301,$C179,المرتجعات!$E$2:$E$301))</f>
        <v>0</v>
      </c>
      <c r="G179" s="21" t="n">
        <f aca="false">D179-E179+F179</f>
        <v>0</v>
      </c>
      <c r="H179" s="26"/>
      <c r="I179" s="27" t="n">
        <f aca="false">G179*H179</f>
        <v>0</v>
      </c>
    </row>
    <row r="180" customFormat="false" ht="15" hidden="false" customHeight="true" outlineLevel="0" collapsed="false">
      <c r="A180" s="21" t="str">
        <f aca="false">IF(B180="","",ROW()-1)</f>
        <v/>
      </c>
      <c r="B180" s="22"/>
      <c r="C180" s="23" t="str">
        <f aca="false">IF(B180="","","200"&amp;TEXT(ROW()-1,"0000000000"))</f>
        <v/>
      </c>
      <c r="D180" s="24"/>
      <c r="E180" s="25" t="n">
        <f aca="false">IF($B180="",0,SUMIF(المبيعات!$D$2:$D$401,$C180,المبيعات!$E$2:$E$401))</f>
        <v>0</v>
      </c>
      <c r="F180" s="25" t="n">
        <f aca="false">IF($B180="",0,SUMIF(المرتجعات!$D$2:$D$301,$C180,المرتجعات!$E$2:$E$301))</f>
        <v>0</v>
      </c>
      <c r="G180" s="21" t="n">
        <f aca="false">D180-E180+F180</f>
        <v>0</v>
      </c>
      <c r="H180" s="26"/>
      <c r="I180" s="27" t="n">
        <f aca="false">G180*H180</f>
        <v>0</v>
      </c>
    </row>
    <row r="181" customFormat="false" ht="15" hidden="false" customHeight="true" outlineLevel="0" collapsed="false">
      <c r="A181" s="21" t="str">
        <f aca="false">IF(B181="","",ROW()-1)</f>
        <v/>
      </c>
      <c r="B181" s="22"/>
      <c r="C181" s="23" t="str">
        <f aca="false">IF(B181="","","200"&amp;TEXT(ROW()-1,"0000000000"))</f>
        <v/>
      </c>
      <c r="D181" s="24"/>
      <c r="E181" s="25" t="n">
        <f aca="false">IF($B181="",0,SUMIF(المبيعات!$D$2:$D$401,$C181,المبيعات!$E$2:$E$401))</f>
        <v>0</v>
      </c>
      <c r="F181" s="25" t="n">
        <f aca="false">IF($B181="",0,SUMIF(المرتجعات!$D$2:$D$301,$C181,المرتجعات!$E$2:$E$301))</f>
        <v>0</v>
      </c>
      <c r="G181" s="21" t="n">
        <f aca="false">D181-E181+F181</f>
        <v>0</v>
      </c>
      <c r="H181" s="26"/>
      <c r="I181" s="27" t="n">
        <f aca="false">G181*H181</f>
        <v>0</v>
      </c>
    </row>
    <row r="182" customFormat="false" ht="15" hidden="false" customHeight="true" outlineLevel="0" collapsed="false">
      <c r="A182" s="21" t="str">
        <f aca="false">IF(B182="","",ROW()-1)</f>
        <v/>
      </c>
      <c r="B182" s="22"/>
      <c r="C182" s="23" t="str">
        <f aca="false">IF(B182="","","200"&amp;TEXT(ROW()-1,"0000000000"))</f>
        <v/>
      </c>
      <c r="D182" s="24"/>
      <c r="E182" s="25" t="n">
        <f aca="false">IF($B182="",0,SUMIF(المبيعات!$D$2:$D$401,$C182,المبيعات!$E$2:$E$401))</f>
        <v>0</v>
      </c>
      <c r="F182" s="25" t="n">
        <f aca="false">IF($B182="",0,SUMIF(المرتجعات!$D$2:$D$301,$C182,المرتجعات!$E$2:$E$301))</f>
        <v>0</v>
      </c>
      <c r="G182" s="21" t="n">
        <f aca="false">D182-E182+F182</f>
        <v>0</v>
      </c>
      <c r="H182" s="26"/>
      <c r="I182" s="27" t="n">
        <f aca="false">G182*H182</f>
        <v>0</v>
      </c>
    </row>
    <row r="183" customFormat="false" ht="15" hidden="false" customHeight="true" outlineLevel="0" collapsed="false">
      <c r="A183" s="21" t="str">
        <f aca="false">IF(B183="","",ROW()-1)</f>
        <v/>
      </c>
      <c r="B183" s="22"/>
      <c r="C183" s="23" t="str">
        <f aca="false">IF(B183="","","200"&amp;TEXT(ROW()-1,"0000000000"))</f>
        <v/>
      </c>
      <c r="D183" s="24"/>
      <c r="E183" s="25" t="n">
        <f aca="false">IF($B183="",0,SUMIF(المبيعات!$D$2:$D$401,$C183,المبيعات!$E$2:$E$401))</f>
        <v>0</v>
      </c>
      <c r="F183" s="25" t="n">
        <f aca="false">IF($B183="",0,SUMIF(المرتجعات!$D$2:$D$301,$C183,المرتجعات!$E$2:$E$301))</f>
        <v>0</v>
      </c>
      <c r="G183" s="21" t="n">
        <f aca="false">D183-E183+F183</f>
        <v>0</v>
      </c>
      <c r="H183" s="26"/>
      <c r="I183" s="27" t="n">
        <f aca="false">G183*H183</f>
        <v>0</v>
      </c>
    </row>
    <row r="184" customFormat="false" ht="15" hidden="false" customHeight="true" outlineLevel="0" collapsed="false">
      <c r="A184" s="21" t="str">
        <f aca="false">IF(B184="","",ROW()-1)</f>
        <v/>
      </c>
      <c r="B184" s="22"/>
      <c r="C184" s="23" t="str">
        <f aca="false">IF(B184="","","200"&amp;TEXT(ROW()-1,"0000000000"))</f>
        <v/>
      </c>
      <c r="D184" s="24"/>
      <c r="E184" s="25" t="n">
        <f aca="false">IF($B184="",0,SUMIF(المبيعات!$D$2:$D$401,$C184,المبيعات!$E$2:$E$401))</f>
        <v>0</v>
      </c>
      <c r="F184" s="25" t="n">
        <f aca="false">IF($B184="",0,SUMIF(المرتجعات!$D$2:$D$301,$C184,المرتجعات!$E$2:$E$301))</f>
        <v>0</v>
      </c>
      <c r="G184" s="21" t="n">
        <f aca="false">D184-E184+F184</f>
        <v>0</v>
      </c>
      <c r="H184" s="26"/>
      <c r="I184" s="27" t="n">
        <f aca="false">G184*H184</f>
        <v>0</v>
      </c>
    </row>
    <row r="185" customFormat="false" ht="15" hidden="false" customHeight="true" outlineLevel="0" collapsed="false">
      <c r="A185" s="21" t="str">
        <f aca="false">IF(B185="","",ROW()-1)</f>
        <v/>
      </c>
      <c r="B185" s="22"/>
      <c r="C185" s="23" t="str">
        <f aca="false">IF(B185="","","200"&amp;TEXT(ROW()-1,"0000000000"))</f>
        <v/>
      </c>
      <c r="D185" s="24"/>
      <c r="E185" s="25" t="n">
        <f aca="false">IF($B185="",0,SUMIF(المبيعات!$D$2:$D$401,$C185,المبيعات!$E$2:$E$401))</f>
        <v>0</v>
      </c>
      <c r="F185" s="25" t="n">
        <f aca="false">IF($B185="",0,SUMIF(المرتجعات!$D$2:$D$301,$C185,المرتجعات!$E$2:$E$301))</f>
        <v>0</v>
      </c>
      <c r="G185" s="21" t="n">
        <f aca="false">D185-E185+F185</f>
        <v>0</v>
      </c>
      <c r="H185" s="26"/>
      <c r="I185" s="27" t="n">
        <f aca="false">G185*H185</f>
        <v>0</v>
      </c>
    </row>
    <row r="186" customFormat="false" ht="15" hidden="false" customHeight="true" outlineLevel="0" collapsed="false">
      <c r="A186" s="21" t="str">
        <f aca="false">IF(B186="","",ROW()-1)</f>
        <v/>
      </c>
      <c r="B186" s="22"/>
      <c r="C186" s="23" t="str">
        <f aca="false">IF(B186="","","200"&amp;TEXT(ROW()-1,"0000000000"))</f>
        <v/>
      </c>
      <c r="D186" s="24"/>
      <c r="E186" s="25" t="n">
        <f aca="false">IF($B186="",0,SUMIF(المبيعات!$D$2:$D$401,$C186,المبيعات!$E$2:$E$401))</f>
        <v>0</v>
      </c>
      <c r="F186" s="25" t="n">
        <f aca="false">IF($B186="",0,SUMIF(المرتجعات!$D$2:$D$301,$C186,المرتجعات!$E$2:$E$301))</f>
        <v>0</v>
      </c>
      <c r="G186" s="21" t="n">
        <f aca="false">D186-E186+F186</f>
        <v>0</v>
      </c>
      <c r="H186" s="26"/>
      <c r="I186" s="27" t="n">
        <f aca="false">G186*H186</f>
        <v>0</v>
      </c>
    </row>
    <row r="187" customFormat="false" ht="15" hidden="false" customHeight="true" outlineLevel="0" collapsed="false">
      <c r="A187" s="21" t="str">
        <f aca="false">IF(B187="","",ROW()-1)</f>
        <v/>
      </c>
      <c r="B187" s="22"/>
      <c r="C187" s="23" t="str">
        <f aca="false">IF(B187="","","200"&amp;TEXT(ROW()-1,"0000000000"))</f>
        <v/>
      </c>
      <c r="D187" s="24"/>
      <c r="E187" s="25" t="n">
        <f aca="false">IF($B187="",0,SUMIF(المبيعات!$D$2:$D$401,$C187,المبيعات!$E$2:$E$401))</f>
        <v>0</v>
      </c>
      <c r="F187" s="25" t="n">
        <f aca="false">IF($B187="",0,SUMIF(المرتجعات!$D$2:$D$301,$C187,المرتجعات!$E$2:$E$301))</f>
        <v>0</v>
      </c>
      <c r="G187" s="21" t="n">
        <f aca="false">D187-E187+F187</f>
        <v>0</v>
      </c>
      <c r="H187" s="26"/>
      <c r="I187" s="27" t="n">
        <f aca="false">G187*H187</f>
        <v>0</v>
      </c>
    </row>
    <row r="188" customFormat="false" ht="15" hidden="false" customHeight="true" outlineLevel="0" collapsed="false">
      <c r="A188" s="21" t="str">
        <f aca="false">IF(B188="","",ROW()-1)</f>
        <v/>
      </c>
      <c r="B188" s="22"/>
      <c r="C188" s="23" t="str">
        <f aca="false">IF(B188="","","200"&amp;TEXT(ROW()-1,"0000000000"))</f>
        <v/>
      </c>
      <c r="D188" s="24"/>
      <c r="E188" s="25" t="n">
        <f aca="false">IF($B188="",0,SUMIF(المبيعات!$D$2:$D$401,$C188,المبيعات!$E$2:$E$401))</f>
        <v>0</v>
      </c>
      <c r="F188" s="25" t="n">
        <f aca="false">IF($B188="",0,SUMIF(المرتجعات!$D$2:$D$301,$C188,المرتجعات!$E$2:$E$301))</f>
        <v>0</v>
      </c>
      <c r="G188" s="21" t="n">
        <f aca="false">D188-E188+F188</f>
        <v>0</v>
      </c>
      <c r="H188" s="26"/>
      <c r="I188" s="27" t="n">
        <f aca="false">G188*H188</f>
        <v>0</v>
      </c>
    </row>
    <row r="189" customFormat="false" ht="15" hidden="false" customHeight="true" outlineLevel="0" collapsed="false">
      <c r="A189" s="21" t="str">
        <f aca="false">IF(B189="","",ROW()-1)</f>
        <v/>
      </c>
      <c r="B189" s="22"/>
      <c r="C189" s="23" t="str">
        <f aca="false">IF(B189="","","200"&amp;TEXT(ROW()-1,"0000000000"))</f>
        <v/>
      </c>
      <c r="D189" s="24"/>
      <c r="E189" s="25" t="n">
        <f aca="false">IF($B189="",0,SUMIF(المبيعات!$D$2:$D$401,$C189,المبيعات!$E$2:$E$401))</f>
        <v>0</v>
      </c>
      <c r="F189" s="25" t="n">
        <f aca="false">IF($B189="",0,SUMIF(المرتجعات!$D$2:$D$301,$C189,المرتجعات!$E$2:$E$301))</f>
        <v>0</v>
      </c>
      <c r="G189" s="21" t="n">
        <f aca="false">D189-E189+F189</f>
        <v>0</v>
      </c>
      <c r="H189" s="26"/>
      <c r="I189" s="27" t="n">
        <f aca="false">G189*H189</f>
        <v>0</v>
      </c>
    </row>
    <row r="190" customFormat="false" ht="15" hidden="false" customHeight="true" outlineLevel="0" collapsed="false">
      <c r="A190" s="21" t="str">
        <f aca="false">IF(B190="","",ROW()-1)</f>
        <v/>
      </c>
      <c r="B190" s="22"/>
      <c r="C190" s="23" t="str">
        <f aca="false">IF(B190="","","200"&amp;TEXT(ROW()-1,"0000000000"))</f>
        <v/>
      </c>
      <c r="D190" s="24"/>
      <c r="E190" s="25" t="n">
        <f aca="false">IF($B190="",0,SUMIF(المبيعات!$D$2:$D$401,$C190,المبيعات!$E$2:$E$401))</f>
        <v>0</v>
      </c>
      <c r="F190" s="25" t="n">
        <f aca="false">IF($B190="",0,SUMIF(المرتجعات!$D$2:$D$301,$C190,المرتجعات!$E$2:$E$301))</f>
        <v>0</v>
      </c>
      <c r="G190" s="21" t="n">
        <f aca="false">D190-E190+F190</f>
        <v>0</v>
      </c>
      <c r="H190" s="26"/>
      <c r="I190" s="27" t="n">
        <f aca="false">G190*H190</f>
        <v>0</v>
      </c>
    </row>
    <row r="191" customFormat="false" ht="15" hidden="false" customHeight="true" outlineLevel="0" collapsed="false">
      <c r="A191" s="21" t="str">
        <f aca="false">IF(B191="","",ROW()-1)</f>
        <v/>
      </c>
      <c r="B191" s="22"/>
      <c r="C191" s="23" t="str">
        <f aca="false">IF(B191="","","200"&amp;TEXT(ROW()-1,"0000000000"))</f>
        <v/>
      </c>
      <c r="D191" s="24"/>
      <c r="E191" s="25" t="n">
        <f aca="false">IF($B191="",0,SUMIF(المبيعات!$D$2:$D$401,$C191,المبيعات!$E$2:$E$401))</f>
        <v>0</v>
      </c>
      <c r="F191" s="25" t="n">
        <f aca="false">IF($B191="",0,SUMIF(المرتجعات!$D$2:$D$301,$C191,المرتجعات!$E$2:$E$301))</f>
        <v>0</v>
      </c>
      <c r="G191" s="21" t="n">
        <f aca="false">D191-E191+F191</f>
        <v>0</v>
      </c>
      <c r="H191" s="26"/>
      <c r="I191" s="27" t="n">
        <f aca="false">G191*H191</f>
        <v>0</v>
      </c>
    </row>
    <row r="192" customFormat="false" ht="15" hidden="false" customHeight="true" outlineLevel="0" collapsed="false">
      <c r="A192" s="21" t="str">
        <f aca="false">IF(B192="","",ROW()-1)</f>
        <v/>
      </c>
      <c r="B192" s="22"/>
      <c r="C192" s="23" t="str">
        <f aca="false">IF(B192="","","200"&amp;TEXT(ROW()-1,"0000000000"))</f>
        <v/>
      </c>
      <c r="D192" s="24"/>
      <c r="E192" s="25" t="n">
        <f aca="false">IF($B192="",0,SUMIF(المبيعات!$D$2:$D$401,$C192,المبيعات!$E$2:$E$401))</f>
        <v>0</v>
      </c>
      <c r="F192" s="25" t="n">
        <f aca="false">IF($B192="",0,SUMIF(المرتجعات!$D$2:$D$301,$C192,المرتجعات!$E$2:$E$301))</f>
        <v>0</v>
      </c>
      <c r="G192" s="21" t="n">
        <f aca="false">D192-E192+F192</f>
        <v>0</v>
      </c>
      <c r="H192" s="26"/>
      <c r="I192" s="27" t="n">
        <f aca="false">G192*H192</f>
        <v>0</v>
      </c>
    </row>
    <row r="193" customFormat="false" ht="15" hidden="false" customHeight="true" outlineLevel="0" collapsed="false">
      <c r="A193" s="21" t="str">
        <f aca="false">IF(B193="","",ROW()-1)</f>
        <v/>
      </c>
      <c r="B193" s="22"/>
      <c r="C193" s="23" t="str">
        <f aca="false">IF(B193="","","200"&amp;TEXT(ROW()-1,"0000000000"))</f>
        <v/>
      </c>
      <c r="D193" s="24"/>
      <c r="E193" s="25" t="n">
        <f aca="false">IF($B193="",0,SUMIF(المبيعات!$D$2:$D$401,$C193,المبيعات!$E$2:$E$401))</f>
        <v>0</v>
      </c>
      <c r="F193" s="25" t="n">
        <f aca="false">IF($B193="",0,SUMIF(المرتجعات!$D$2:$D$301,$C193,المرتجعات!$E$2:$E$301))</f>
        <v>0</v>
      </c>
      <c r="G193" s="21" t="n">
        <f aca="false">D193-E193+F193</f>
        <v>0</v>
      </c>
      <c r="H193" s="26"/>
      <c r="I193" s="27" t="n">
        <f aca="false">G193*H193</f>
        <v>0</v>
      </c>
    </row>
    <row r="194" customFormat="false" ht="15" hidden="false" customHeight="true" outlineLevel="0" collapsed="false">
      <c r="A194" s="21" t="str">
        <f aca="false">IF(B194="","",ROW()-1)</f>
        <v/>
      </c>
      <c r="B194" s="22"/>
      <c r="C194" s="23" t="str">
        <f aca="false">IF(B194="","","200"&amp;TEXT(ROW()-1,"0000000000"))</f>
        <v/>
      </c>
      <c r="D194" s="24"/>
      <c r="E194" s="25" t="n">
        <f aca="false">IF($B194="",0,SUMIF(المبيعات!$D$2:$D$401,$C194,المبيعات!$E$2:$E$401))</f>
        <v>0</v>
      </c>
      <c r="F194" s="25" t="n">
        <f aca="false">IF($B194="",0,SUMIF(المرتجعات!$D$2:$D$301,$C194,المرتجعات!$E$2:$E$301))</f>
        <v>0</v>
      </c>
      <c r="G194" s="21" t="n">
        <f aca="false">D194-E194+F194</f>
        <v>0</v>
      </c>
      <c r="H194" s="26"/>
      <c r="I194" s="27" t="n">
        <f aca="false">G194*H194</f>
        <v>0</v>
      </c>
    </row>
    <row r="195" customFormat="false" ht="15" hidden="false" customHeight="true" outlineLevel="0" collapsed="false">
      <c r="A195" s="21" t="str">
        <f aca="false">IF(B195="","",ROW()-1)</f>
        <v/>
      </c>
      <c r="B195" s="22"/>
      <c r="C195" s="23" t="str">
        <f aca="false">IF(B195="","","200"&amp;TEXT(ROW()-1,"0000000000"))</f>
        <v/>
      </c>
      <c r="D195" s="24"/>
      <c r="E195" s="25" t="n">
        <f aca="false">IF($B195="",0,SUMIF(المبيعات!$D$2:$D$401,$C195,المبيعات!$E$2:$E$401))</f>
        <v>0</v>
      </c>
      <c r="F195" s="25" t="n">
        <f aca="false">IF($B195="",0,SUMIF(المرتجعات!$D$2:$D$301,$C195,المرتجعات!$E$2:$E$301))</f>
        <v>0</v>
      </c>
      <c r="G195" s="21" t="n">
        <f aca="false">D195-E195+F195</f>
        <v>0</v>
      </c>
      <c r="H195" s="26"/>
      <c r="I195" s="27" t="n">
        <f aca="false">G195*H195</f>
        <v>0</v>
      </c>
    </row>
    <row r="196" customFormat="false" ht="15" hidden="false" customHeight="true" outlineLevel="0" collapsed="false">
      <c r="A196" s="21" t="str">
        <f aca="false">IF(B196="","",ROW()-1)</f>
        <v/>
      </c>
      <c r="B196" s="22"/>
      <c r="C196" s="23" t="str">
        <f aca="false">IF(B196="","","200"&amp;TEXT(ROW()-1,"0000000000"))</f>
        <v/>
      </c>
      <c r="D196" s="24"/>
      <c r="E196" s="25" t="n">
        <f aca="false">IF($B196="",0,SUMIF(المبيعات!$D$2:$D$401,$C196,المبيعات!$E$2:$E$401))</f>
        <v>0</v>
      </c>
      <c r="F196" s="25" t="n">
        <f aca="false">IF($B196="",0,SUMIF(المرتجعات!$D$2:$D$301,$C196,المرتجعات!$E$2:$E$301))</f>
        <v>0</v>
      </c>
      <c r="G196" s="21" t="n">
        <f aca="false">D196-E196+F196</f>
        <v>0</v>
      </c>
      <c r="H196" s="26"/>
      <c r="I196" s="27" t="n">
        <f aca="false">G196*H196</f>
        <v>0</v>
      </c>
    </row>
    <row r="197" customFormat="false" ht="15" hidden="false" customHeight="true" outlineLevel="0" collapsed="false">
      <c r="A197" s="21" t="str">
        <f aca="false">IF(B197="","",ROW()-1)</f>
        <v/>
      </c>
      <c r="B197" s="22"/>
      <c r="C197" s="23" t="str">
        <f aca="false">IF(B197="","","200"&amp;TEXT(ROW()-1,"0000000000"))</f>
        <v/>
      </c>
      <c r="D197" s="24"/>
      <c r="E197" s="25" t="n">
        <f aca="false">IF($B197="",0,SUMIF(المبيعات!$D$2:$D$401,$C197,المبيعات!$E$2:$E$401))</f>
        <v>0</v>
      </c>
      <c r="F197" s="25" t="n">
        <f aca="false">IF($B197="",0,SUMIF(المرتجعات!$D$2:$D$301,$C197,المرتجعات!$E$2:$E$301))</f>
        <v>0</v>
      </c>
      <c r="G197" s="21" t="n">
        <f aca="false">D197-E197+F197</f>
        <v>0</v>
      </c>
      <c r="H197" s="26"/>
      <c r="I197" s="27" t="n">
        <f aca="false">G197*H197</f>
        <v>0</v>
      </c>
    </row>
    <row r="198" customFormat="false" ht="15" hidden="false" customHeight="true" outlineLevel="0" collapsed="false">
      <c r="A198" s="21" t="str">
        <f aca="false">IF(B198="","",ROW()-1)</f>
        <v/>
      </c>
      <c r="B198" s="22"/>
      <c r="C198" s="23" t="str">
        <f aca="false">IF(B198="","","200"&amp;TEXT(ROW()-1,"0000000000"))</f>
        <v/>
      </c>
      <c r="D198" s="24"/>
      <c r="E198" s="25" t="n">
        <f aca="false">IF($B198="",0,SUMIF(المبيعات!$D$2:$D$401,$C198,المبيعات!$E$2:$E$401))</f>
        <v>0</v>
      </c>
      <c r="F198" s="25" t="n">
        <f aca="false">IF($B198="",0,SUMIF(المرتجعات!$D$2:$D$301,$C198,المرتجعات!$E$2:$E$301))</f>
        <v>0</v>
      </c>
      <c r="G198" s="21" t="n">
        <f aca="false">D198-E198+F198</f>
        <v>0</v>
      </c>
      <c r="H198" s="26"/>
      <c r="I198" s="27" t="n">
        <f aca="false">G198*H198</f>
        <v>0</v>
      </c>
    </row>
    <row r="199" customFormat="false" ht="15" hidden="false" customHeight="true" outlineLevel="0" collapsed="false">
      <c r="A199" s="21" t="str">
        <f aca="false">IF(B199="","",ROW()-1)</f>
        <v/>
      </c>
      <c r="B199" s="22"/>
      <c r="C199" s="23" t="str">
        <f aca="false">IF(B199="","","200"&amp;TEXT(ROW()-1,"0000000000"))</f>
        <v/>
      </c>
      <c r="D199" s="24"/>
      <c r="E199" s="25" t="n">
        <f aca="false">IF($B199="",0,SUMIF(المبيعات!$D$2:$D$401,$C199,المبيعات!$E$2:$E$401))</f>
        <v>0</v>
      </c>
      <c r="F199" s="25" t="n">
        <f aca="false">IF($B199="",0,SUMIF(المرتجعات!$D$2:$D$301,$C199,المرتجعات!$E$2:$E$301))</f>
        <v>0</v>
      </c>
      <c r="G199" s="21" t="n">
        <f aca="false">D199-E199+F199</f>
        <v>0</v>
      </c>
      <c r="H199" s="26"/>
      <c r="I199" s="27" t="n">
        <f aca="false">G199*H199</f>
        <v>0</v>
      </c>
    </row>
    <row r="200" customFormat="false" ht="15" hidden="false" customHeight="true" outlineLevel="0" collapsed="false">
      <c r="A200" s="21" t="str">
        <f aca="false">IF(B200="","",ROW()-1)</f>
        <v/>
      </c>
      <c r="B200" s="22"/>
      <c r="C200" s="23" t="str">
        <f aca="false">IF(B200="","","200"&amp;TEXT(ROW()-1,"0000000000"))</f>
        <v/>
      </c>
      <c r="D200" s="24"/>
      <c r="E200" s="25" t="n">
        <f aca="false">IF($B200="",0,SUMIF(المبيعات!$D$2:$D$401,$C200,المبيعات!$E$2:$E$401))</f>
        <v>0</v>
      </c>
      <c r="F200" s="25" t="n">
        <f aca="false">IF($B200="",0,SUMIF(المرتجعات!$D$2:$D$301,$C200,المرتجعات!$E$2:$E$301))</f>
        <v>0</v>
      </c>
      <c r="G200" s="21" t="n">
        <f aca="false">D200-E200+F200</f>
        <v>0</v>
      </c>
      <c r="H200" s="26"/>
      <c r="I200" s="27" t="n">
        <f aca="false">G200*H200</f>
        <v>0</v>
      </c>
    </row>
    <row r="201" customFormat="false" ht="15" hidden="false" customHeight="true" outlineLevel="0" collapsed="false">
      <c r="A201" s="21" t="str">
        <f aca="false">IF(B201="","",ROW()-1)</f>
        <v/>
      </c>
      <c r="B201" s="22"/>
      <c r="C201" s="23" t="str">
        <f aca="false">IF(B201="","","200"&amp;TEXT(ROW()-1,"0000000000"))</f>
        <v/>
      </c>
      <c r="D201" s="24"/>
      <c r="E201" s="25" t="n">
        <f aca="false">IF($B201="",0,SUMIF(المبيعات!$D$2:$D$401,$C201,المبيعات!$E$2:$E$401))</f>
        <v>0</v>
      </c>
      <c r="F201" s="25" t="n">
        <f aca="false">IF($B201="",0,SUMIF(المرتجعات!$D$2:$D$301,$C201,المرتجعات!$E$2:$E$301))</f>
        <v>0</v>
      </c>
      <c r="G201" s="21" t="n">
        <f aca="false">D201-E201+F201</f>
        <v>0</v>
      </c>
      <c r="H201" s="26"/>
      <c r="I201" s="27" t="n">
        <f aca="false">G201*H201</f>
        <v>0</v>
      </c>
    </row>
    <row r="203" customFormat="false" ht="15" hidden="false" customHeight="true" outlineLevel="0" collapsed="false">
      <c r="A203" s="30"/>
      <c r="B203" s="30" t="s">
        <v>109</v>
      </c>
      <c r="C203" s="30"/>
      <c r="D203" s="31" t="n">
        <f aca="false">SUM(D2:D201)</f>
        <v>410</v>
      </c>
      <c r="E203" s="31" t="n">
        <f aca="false">SUM(E2:E201)</f>
        <v>0</v>
      </c>
      <c r="F203" s="31" t="n">
        <f aca="false">SUM(F2:F201)</f>
        <v>0</v>
      </c>
      <c r="G203" s="31" t="n">
        <f aca="false">SUM(G2:G201)</f>
        <v>410</v>
      </c>
      <c r="H203" s="30"/>
      <c r="I203" s="32" t="n">
        <f aca="false">SUM(I2:I201)</f>
        <v>104720</v>
      </c>
      <c r="J203" s="33" t="n">
        <f aca="false">SUM(J2:J201)</f>
        <v>0</v>
      </c>
    </row>
    <row r="205" customFormat="false" ht="15" hidden="false" customHeight="true" outlineLevel="0" collapsed="false">
      <c r="B205" s="34" t="s">
        <v>110</v>
      </c>
      <c r="C205" s="34"/>
      <c r="D205" s="34"/>
      <c r="E205" s="34"/>
      <c r="F205" s="34"/>
      <c r="G205" s="34"/>
      <c r="H205" s="34"/>
      <c r="I205" s="34"/>
    </row>
  </sheetData>
  <mergeCells count="1">
    <mergeCell ref="B205:I205"/>
  </mergeCells>
  <conditionalFormatting sqref="A2:I201">
    <cfRule type="expression" priority="2" aboveAverage="0" equalAverage="0" bottom="0" percent="0" rank="0" text="" dxfId="2">
      <formula>MOD(ROW(),2)=0</formula>
    </cfRule>
  </conditionalFormatting>
  <conditionalFormatting sqref="A2:J201">
    <cfRule type="expression" priority="3" aboveAverage="0" equalAverage="0" bottom="0" percent="0" rank="0" text="" dxfId="3">
      <formula>AND($B2&lt;&gt;"",$G2=0)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J20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0"/>
    <col collapsed="false" customWidth="true" hidden="false" outlineLevel="0" max="7" min="7" style="1" width="12"/>
    <col collapsed="false" customWidth="true" hidden="false" outlineLevel="0" max="8" min="8" style="1" width="14"/>
    <col collapsed="false" customWidth="true" hidden="false" outlineLevel="0" max="9" min="9" style="1" width="16"/>
    <col collapsed="false" customWidth="true" hidden="false" outlineLevel="0" max="10" min="10" style="1" width="26"/>
  </cols>
  <sheetData>
    <row r="1" customFormat="false" ht="27.75" hidden="false" customHeight="true" outlineLevel="0" collapsed="false">
      <c r="A1" s="35" t="s">
        <v>21</v>
      </c>
      <c r="B1" s="35" t="s">
        <v>22</v>
      </c>
      <c r="C1" s="35" t="s">
        <v>23</v>
      </c>
      <c r="D1" s="35" t="s">
        <v>111</v>
      </c>
      <c r="E1" s="35" t="s">
        <v>112</v>
      </c>
      <c r="F1" s="35" t="s">
        <v>113</v>
      </c>
      <c r="G1" s="35" t="s">
        <v>114</v>
      </c>
      <c r="H1" s="35" t="s">
        <v>28</v>
      </c>
      <c r="I1" s="35" t="s">
        <v>115</v>
      </c>
      <c r="J1" s="35" t="s">
        <v>116</v>
      </c>
    </row>
    <row r="2" customFormat="false" ht="15" hidden="false" customHeight="true" outlineLevel="0" collapsed="false">
      <c r="A2" s="36" t="n">
        <f aca="false">IF(B2="","",ROW()-1)</f>
        <v>1</v>
      </c>
      <c r="B2" s="37" t="str">
        <f aca="false">IF(المخزن!B2="","",المخزن!B2)</f>
        <v>تي شيرت 2سوستة تركي</v>
      </c>
      <c r="C2" s="38" t="str">
        <f aca="false">IF(B2="","",المخزن!C2)</f>
        <v>2000000000001</v>
      </c>
      <c r="D2" s="39" t="n">
        <f aca="false">IF($B2="","",المخزن!G2)</f>
        <v>1</v>
      </c>
      <c r="E2" s="40"/>
      <c r="F2" s="41" t="str">
        <f aca="false">IF(OR(B2="",E2=""),"",E2-D2)</f>
        <v/>
      </c>
      <c r="G2" s="42" t="str">
        <f aca="false">IF(F2="","",IF(F2&gt;0,"زيادة",IF(F2&lt;0,"عجز","مطابق")))</f>
        <v/>
      </c>
      <c r="H2" s="43" t="n">
        <f aca="false">IF(B2="","",المخزن!H2)</f>
        <v>360</v>
      </c>
      <c r="I2" s="44" t="str">
        <f aca="false">IF(F2="","",F2*H2)</f>
        <v/>
      </c>
      <c r="J2" s="22"/>
    </row>
    <row r="3" customFormat="false" ht="15" hidden="false" customHeight="true" outlineLevel="0" collapsed="false">
      <c r="A3" s="36" t="n">
        <f aca="false">IF(B3="","",ROW()-1)</f>
        <v>2</v>
      </c>
      <c r="B3" s="37" t="str">
        <f aca="false">IF(المخزن!B3="","",المخزن!B3)</f>
        <v>تي شيرت بلانكو قصات</v>
      </c>
      <c r="C3" s="38" t="str">
        <f aca="false">IF(B3="","",المخزن!C3)</f>
        <v>2000000000002</v>
      </c>
      <c r="D3" s="39" t="n">
        <f aca="false">IF($B3="","",المخزن!G3)</f>
        <v>5</v>
      </c>
      <c r="E3" s="40"/>
      <c r="F3" s="41" t="str">
        <f aca="false">IF(OR(B3="",E3=""),"",E3-D3)</f>
        <v/>
      </c>
      <c r="G3" s="42" t="str">
        <f aca="false">IF(F3="","",IF(F3&gt;0,"زيادة",IF(F3&lt;0,"عجز","مطابق")))</f>
        <v/>
      </c>
      <c r="H3" s="43" t="n">
        <f aca="false">IF(B3="","",المخزن!H3)</f>
        <v>480</v>
      </c>
      <c r="I3" s="44" t="str">
        <f aca="false">IF(F3="","",F3*H3)</f>
        <v/>
      </c>
      <c r="J3" s="22"/>
    </row>
    <row r="4" customFormat="false" ht="15" hidden="false" customHeight="true" outlineLevel="0" collapsed="false">
      <c r="A4" s="36" t="n">
        <f aca="false">IF(B4="","",ROW()-1)</f>
        <v>3</v>
      </c>
      <c r="B4" s="37" t="str">
        <f aca="false">IF(المخزن!B4="","",المخزن!B4)</f>
        <v>تي شيرت حورس طباعة فوم</v>
      </c>
      <c r="C4" s="38" t="str">
        <f aca="false">IF(B4="","",المخزن!C4)</f>
        <v>2000000000003</v>
      </c>
      <c r="D4" s="39" t="n">
        <f aca="false">IF($B4="","",المخزن!G4)</f>
        <v>3</v>
      </c>
      <c r="E4" s="40"/>
      <c r="F4" s="41" t="str">
        <f aca="false">IF(OR(B4="",E4=""),"",E4-D4)</f>
        <v/>
      </c>
      <c r="G4" s="42" t="str">
        <f aca="false">IF(F4="","",IF(F4&gt;0,"زيادة",IF(F4&lt;0,"عجز","مطابق")))</f>
        <v/>
      </c>
      <c r="H4" s="43" t="n">
        <f aca="false">IF(B4="","",المخزن!H4)</f>
        <v>250</v>
      </c>
      <c r="I4" s="44" t="str">
        <f aca="false">IF(F4="","",F4*H4)</f>
        <v/>
      </c>
      <c r="J4" s="22"/>
    </row>
    <row r="5" customFormat="false" ht="15" hidden="false" customHeight="true" outlineLevel="0" collapsed="false">
      <c r="A5" s="36" t="n">
        <f aca="false">IF(B5="","",ROW()-1)</f>
        <v>4</v>
      </c>
      <c r="B5" s="37" t="str">
        <f aca="false">IF(المخزن!B5="","",المخزن!B5)</f>
        <v>تي شيرت كويك</v>
      </c>
      <c r="C5" s="38" t="str">
        <f aca="false">IF(B5="","",المخزن!C5)</f>
        <v>2000000000004</v>
      </c>
      <c r="D5" s="39" t="n">
        <f aca="false">IF($B5="","",المخزن!G5)</f>
        <v>1</v>
      </c>
      <c r="E5" s="40"/>
      <c r="F5" s="41" t="str">
        <f aca="false">IF(OR(B5="",E5=""),"",E5-D5)</f>
        <v/>
      </c>
      <c r="G5" s="42" t="str">
        <f aca="false">IF(F5="","",IF(F5&gt;0,"زيادة",IF(F5&lt;0,"عجز","مطابق")))</f>
        <v/>
      </c>
      <c r="H5" s="43" t="n">
        <f aca="false">IF(B5="","",المخزن!H5)</f>
        <v>200</v>
      </c>
      <c r="I5" s="44" t="str">
        <f aca="false">IF(F5="","",F5*H5)</f>
        <v/>
      </c>
      <c r="J5" s="22"/>
    </row>
    <row r="6" customFormat="false" ht="15" hidden="false" customHeight="true" outlineLevel="0" collapsed="false">
      <c r="A6" s="36" t="n">
        <f aca="false">IF(B6="","",ROW()-1)</f>
        <v>5</v>
      </c>
      <c r="B6" s="37" t="str">
        <f aca="false">IF(المخزن!B6="","",المخزن!B6)</f>
        <v>تي شيرت وولف سادة </v>
      </c>
      <c r="C6" s="38" t="str">
        <f aca="false">IF(B6="","",المخزن!C6)</f>
        <v>2000000000005</v>
      </c>
      <c r="D6" s="39" t="n">
        <f aca="false">IF($B6="","",المخزن!G6)</f>
        <v>1</v>
      </c>
      <c r="E6" s="40"/>
      <c r="F6" s="41" t="str">
        <f aca="false">IF(OR(B6="",E6=""),"",E6-D6)</f>
        <v/>
      </c>
      <c r="G6" s="42" t="str">
        <f aca="false">IF(F6="","",IF(F6&gt;0,"زيادة",IF(F6&lt;0,"عجز","مطابق")))</f>
        <v/>
      </c>
      <c r="H6" s="43" t="n">
        <f aca="false">IF(B6="","",المخزن!H6)</f>
        <v>250</v>
      </c>
      <c r="I6" s="44" t="str">
        <f aca="false">IF(F6="","",F6*H6)</f>
        <v/>
      </c>
      <c r="J6" s="22"/>
    </row>
    <row r="7" customFormat="false" ht="15" hidden="false" customHeight="true" outlineLevel="0" collapsed="false">
      <c r="A7" s="36" t="n">
        <f aca="false">IF(B7="","",ROW()-1)</f>
        <v>6</v>
      </c>
      <c r="B7" s="37" t="str">
        <f aca="false">IF(المخزن!B7="","",المخزن!B7)</f>
        <v>تي شيرت اليفين</v>
      </c>
      <c r="C7" s="38" t="str">
        <f aca="false">IF(B7="","",المخزن!C7)</f>
        <v>2000000000006</v>
      </c>
      <c r="D7" s="39" t="n">
        <f aca="false">IF($B7="","",المخزن!G7)</f>
        <v>1</v>
      </c>
      <c r="E7" s="40"/>
      <c r="F7" s="41" t="str">
        <f aca="false">IF(OR(B7="",E7=""),"",E7-D7)</f>
        <v/>
      </c>
      <c r="G7" s="42" t="str">
        <f aca="false">IF(F7="","",IF(F7&gt;0,"زيادة",IF(F7&lt;0,"عجز","مطابق")))</f>
        <v/>
      </c>
      <c r="H7" s="43" t="n">
        <f aca="false">IF(B7="","",المخزن!H7)</f>
        <v>360</v>
      </c>
      <c r="I7" s="44" t="str">
        <f aca="false">IF(F7="","",F7*H7)</f>
        <v/>
      </c>
      <c r="J7" s="22"/>
    </row>
    <row r="8" customFormat="false" ht="15" hidden="false" customHeight="true" outlineLevel="0" collapsed="false">
      <c r="A8" s="36" t="n">
        <f aca="false">IF(B8="","",ROW()-1)</f>
        <v>7</v>
      </c>
      <c r="B8" s="37" t="str">
        <f aca="false">IF(المخزن!B8="","",المخزن!B8)</f>
        <v>تي شيرت ترند تريكو</v>
      </c>
      <c r="C8" s="38" t="str">
        <f aca="false">IF(B8="","",المخزن!C8)</f>
        <v>2000000000007</v>
      </c>
      <c r="D8" s="39" t="n">
        <f aca="false">IF($B8="","",المخزن!G8)</f>
        <v>2</v>
      </c>
      <c r="E8" s="40"/>
      <c r="F8" s="41" t="str">
        <f aca="false">IF(OR(B8="",E8=""),"",E8-D8)</f>
        <v/>
      </c>
      <c r="G8" s="42" t="str">
        <f aca="false">IF(F8="","",IF(F8&gt;0,"زيادة",IF(F8&lt;0,"عجز","مطابق")))</f>
        <v/>
      </c>
      <c r="H8" s="43" t="n">
        <f aca="false">IF(B8="","",المخزن!H8)</f>
        <v>290</v>
      </c>
      <c r="I8" s="44" t="str">
        <f aca="false">IF(F8="","",F8*H8)</f>
        <v/>
      </c>
      <c r="J8" s="22"/>
    </row>
    <row r="9" customFormat="false" ht="15" hidden="false" customHeight="true" outlineLevel="0" collapsed="false">
      <c r="A9" s="36" t="n">
        <f aca="false">IF(B9="","",ROW()-1)</f>
        <v>8</v>
      </c>
      <c r="B9" s="37" t="str">
        <f aca="false">IF(المخزن!B9="","",المخزن!B9)</f>
        <v>تي شيرت بليزي</v>
      </c>
      <c r="C9" s="38" t="str">
        <f aca="false">IF(B9="","",المخزن!C9)</f>
        <v>2000000000008</v>
      </c>
      <c r="D9" s="39" t="n">
        <f aca="false">IF($B9="","",المخزن!G9)</f>
        <v>0</v>
      </c>
      <c r="E9" s="40"/>
      <c r="F9" s="41" t="str">
        <f aca="false">IF(OR(B9="",E9=""),"",E9-D9)</f>
        <v/>
      </c>
      <c r="G9" s="42" t="str">
        <f aca="false">IF(F9="","",IF(F9&gt;0,"زيادة",IF(F9&lt;0,"عجز","مطابق")))</f>
        <v/>
      </c>
      <c r="H9" s="43" t="n">
        <f aca="false">IF(B9="","",المخزن!H9)</f>
        <v>350</v>
      </c>
      <c r="I9" s="44" t="str">
        <f aca="false">IF(F9="","",F9*H9)</f>
        <v/>
      </c>
      <c r="J9" s="22"/>
    </row>
    <row r="10" customFormat="false" ht="15" hidden="false" customHeight="true" outlineLevel="0" collapsed="false">
      <c r="A10" s="36" t="n">
        <f aca="false">IF(B10="","",ROW()-1)</f>
        <v>9</v>
      </c>
      <c r="B10" s="37" t="str">
        <f aca="false">IF(المخزن!B10="","",المخزن!B10)</f>
        <v>تي شيرت كراش</v>
      </c>
      <c r="C10" s="38" t="str">
        <f aca="false">IF(B10="","",المخزن!C10)</f>
        <v>2000000000009</v>
      </c>
      <c r="D10" s="39" t="n">
        <f aca="false">IF($B10="","",المخزن!G10)</f>
        <v>14</v>
      </c>
      <c r="E10" s="40"/>
      <c r="F10" s="41" t="str">
        <f aca="false">IF(OR(B10="",E10=""),"",E10-D10)</f>
        <v/>
      </c>
      <c r="G10" s="42" t="str">
        <f aca="false">IF(F10="","",IF(F10&gt;0,"زيادة",IF(F10&lt;0,"عجز","مطابق")))</f>
        <v/>
      </c>
      <c r="H10" s="43" t="n">
        <f aca="false">IF(B10="","",المخزن!H10)</f>
        <v>180</v>
      </c>
      <c r="I10" s="44" t="str">
        <f aca="false">IF(F10="","",F10*H10)</f>
        <v/>
      </c>
      <c r="J10" s="22"/>
    </row>
    <row r="11" customFormat="false" ht="15" hidden="false" customHeight="true" outlineLevel="0" collapsed="false">
      <c r="A11" s="36" t="n">
        <f aca="false">IF(B11="","",ROW()-1)</f>
        <v>10</v>
      </c>
      <c r="B11" s="37" t="str">
        <f aca="false">IF(المخزن!B11="","",المخزن!B11)</f>
        <v>تي شيرت ياقة نور</v>
      </c>
      <c r="C11" s="38" t="str">
        <f aca="false">IF(B11="","",المخزن!C11)</f>
        <v>2000000000010</v>
      </c>
      <c r="D11" s="39" t="n">
        <f aca="false">IF($B11="","",المخزن!G11)</f>
        <v>7</v>
      </c>
      <c r="E11" s="40"/>
      <c r="F11" s="41" t="str">
        <f aca="false">IF(OR(B11="",E11=""),"",E11-D11)</f>
        <v/>
      </c>
      <c r="G11" s="42" t="str">
        <f aca="false">IF(F11="","",IF(F11&gt;0,"زيادة",IF(F11&lt;0,"عجز","مطابق")))</f>
        <v/>
      </c>
      <c r="H11" s="43" t="n">
        <f aca="false">IF(B11="","",المخزن!H11)</f>
        <v>280</v>
      </c>
      <c r="I11" s="44" t="str">
        <f aca="false">IF(F11="","",F11*H11)</f>
        <v/>
      </c>
      <c r="J11" s="22"/>
    </row>
    <row r="12" customFormat="false" ht="15" hidden="false" customHeight="true" outlineLevel="0" collapsed="false">
      <c r="A12" s="36" t="n">
        <f aca="false">IF(B12="","",ROW()-1)</f>
        <v>11</v>
      </c>
      <c r="B12" s="37" t="str">
        <f aca="false">IF(المخزن!B12="","",المخزن!B12)</f>
        <v>تي شيرت فيو مخربش</v>
      </c>
      <c r="C12" s="38" t="str">
        <f aca="false">IF(B12="","",المخزن!C12)</f>
        <v>2000000000011</v>
      </c>
      <c r="D12" s="39" t="n">
        <f aca="false">IF($B12="","",المخزن!G12)</f>
        <v>2</v>
      </c>
      <c r="E12" s="40"/>
      <c r="F12" s="41" t="str">
        <f aca="false">IF(OR(B12="",E12=""),"",E12-D12)</f>
        <v/>
      </c>
      <c r="G12" s="42" t="str">
        <f aca="false">IF(F12="","",IF(F12&gt;0,"زيادة",IF(F12&lt;0,"عجز","مطابق")))</f>
        <v/>
      </c>
      <c r="H12" s="43" t="n">
        <f aca="false">IF(B12="","",المخزن!H12)</f>
        <v>300</v>
      </c>
      <c r="I12" s="44" t="str">
        <f aca="false">IF(F12="","",F12*H12)</f>
        <v/>
      </c>
      <c r="J12" s="22"/>
    </row>
    <row r="13" customFormat="false" ht="15" hidden="false" customHeight="true" outlineLevel="0" collapsed="false">
      <c r="A13" s="36" t="n">
        <f aca="false">IF(B13="","",ROW()-1)</f>
        <v>12</v>
      </c>
      <c r="B13" s="37" t="str">
        <f aca="false">IF(المخزن!B13="","",المخزن!B13)</f>
        <v>تي شيرت ياقة عجينة</v>
      </c>
      <c r="C13" s="38" t="str">
        <f aca="false">IF(B13="","",المخزن!C13)</f>
        <v>2000000000012</v>
      </c>
      <c r="D13" s="39" t="n">
        <f aca="false">IF($B13="","",المخزن!G13)</f>
        <v>1</v>
      </c>
      <c r="E13" s="40"/>
      <c r="F13" s="41" t="str">
        <f aca="false">IF(OR(B13="",E13=""),"",E13-D13)</f>
        <v/>
      </c>
      <c r="G13" s="42" t="str">
        <f aca="false">IF(F13="","",IF(F13&gt;0,"زيادة",IF(F13&lt;0,"عجز","مطابق")))</f>
        <v/>
      </c>
      <c r="H13" s="43" t="n">
        <f aca="false">IF(B13="","",المخزن!H13)</f>
        <v>240</v>
      </c>
      <c r="I13" s="44" t="str">
        <f aca="false">IF(F13="","",F13*H13)</f>
        <v/>
      </c>
      <c r="J13" s="22"/>
    </row>
    <row r="14" customFormat="false" ht="15" hidden="false" customHeight="true" outlineLevel="0" collapsed="false">
      <c r="A14" s="36" t="n">
        <f aca="false">IF(B14="","",ROW()-1)</f>
        <v>13</v>
      </c>
      <c r="B14" s="37" t="str">
        <f aca="false">IF(المخزن!B14="","",المخزن!B14)</f>
        <v>تي شيرت ياقة فولكفر فيندي</v>
      </c>
      <c r="C14" s="38" t="str">
        <f aca="false">IF(B14="","",المخزن!C14)</f>
        <v>2000000000013</v>
      </c>
      <c r="D14" s="39" t="n">
        <f aca="false">IF($B14="","",المخزن!G14)</f>
        <v>1</v>
      </c>
      <c r="E14" s="40"/>
      <c r="F14" s="41" t="str">
        <f aca="false">IF(OR(B14="",E14=""),"",E14-D14)</f>
        <v/>
      </c>
      <c r="G14" s="42" t="str">
        <f aca="false">IF(F14="","",IF(F14&gt;0,"زيادة",IF(F14&lt;0,"عجز","مطابق")))</f>
        <v/>
      </c>
      <c r="H14" s="43" t="n">
        <f aca="false">IF(B14="","",المخزن!H14)</f>
        <v>410</v>
      </c>
      <c r="I14" s="44" t="str">
        <f aca="false">IF(F14="","",F14*H14)</f>
        <v/>
      </c>
      <c r="J14" s="22"/>
    </row>
    <row r="15" customFormat="false" ht="15" hidden="false" customHeight="true" outlineLevel="0" collapsed="false">
      <c r="A15" s="36" t="n">
        <f aca="false">IF(B15="","",ROW()-1)</f>
        <v>14</v>
      </c>
      <c r="B15" s="37" t="str">
        <f aca="false">IF(المخزن!B15="","",المخزن!B15)</f>
        <v>تي شيرت جولدن بوي ديور</v>
      </c>
      <c r="C15" s="38" t="str">
        <f aca="false">IF(B15="","",المخزن!C15)</f>
        <v>2000000000014</v>
      </c>
      <c r="D15" s="39" t="n">
        <f aca="false">IF($B15="","",المخزن!G15)</f>
        <v>0</v>
      </c>
      <c r="E15" s="40"/>
      <c r="F15" s="41" t="str">
        <f aca="false">IF(OR(B15="",E15=""),"",E15-D15)</f>
        <v/>
      </c>
      <c r="G15" s="42" t="str">
        <f aca="false">IF(F15="","",IF(F15&gt;0,"زيادة",IF(F15&lt;0,"عجز","مطابق")))</f>
        <v/>
      </c>
      <c r="H15" s="43" t="n">
        <f aca="false">IF(B15="","",المخزن!H15)</f>
        <v>490</v>
      </c>
      <c r="I15" s="44" t="str">
        <f aca="false">IF(F15="","",F15*H15)</f>
        <v/>
      </c>
      <c r="J15" s="22"/>
    </row>
    <row r="16" customFormat="false" ht="15" hidden="false" customHeight="true" outlineLevel="0" collapsed="false">
      <c r="A16" s="36" t="n">
        <f aca="false">IF(B16="","",ROW()-1)</f>
        <v>15</v>
      </c>
      <c r="B16" s="37" t="str">
        <f aca="false">IF(المخزن!B16="","",المخزن!B16)</f>
        <v>تي شيرت ديور باريس</v>
      </c>
      <c r="C16" s="38" t="str">
        <f aca="false">IF(B16="","",المخزن!C16)</f>
        <v>2000000000015</v>
      </c>
      <c r="D16" s="39" t="n">
        <f aca="false">IF($B16="","",المخزن!G16)</f>
        <v>2</v>
      </c>
      <c r="E16" s="40"/>
      <c r="F16" s="41" t="str">
        <f aca="false">IF(OR(B16="",E16=""),"",E16-D16)</f>
        <v/>
      </c>
      <c r="G16" s="42" t="str">
        <f aca="false">IF(F16="","",IF(F16&gt;0,"زيادة",IF(F16&lt;0,"عجز","مطابق")))</f>
        <v/>
      </c>
      <c r="H16" s="43" t="n">
        <f aca="false">IF(B16="","",المخزن!H16)</f>
        <v>460</v>
      </c>
      <c r="I16" s="44" t="str">
        <f aca="false">IF(F16="","",F16*H16)</f>
        <v/>
      </c>
      <c r="J16" s="22"/>
    </row>
    <row r="17" customFormat="false" ht="15" hidden="false" customHeight="true" outlineLevel="0" collapsed="false">
      <c r="A17" s="36" t="n">
        <f aca="false">IF(B17="","",ROW()-1)</f>
        <v>16</v>
      </c>
      <c r="B17" s="37" t="str">
        <f aca="false">IF(المخزن!B17="","",المخزن!B17)</f>
        <v>تي شيرت ياقة امريكان ايجل مونك</v>
      </c>
      <c r="C17" s="38" t="str">
        <f aca="false">IF(B17="","",المخزن!C17)</f>
        <v>2000000000016</v>
      </c>
      <c r="D17" s="39" t="n">
        <f aca="false">IF($B17="","",المخزن!G17)</f>
        <v>2</v>
      </c>
      <c r="E17" s="40"/>
      <c r="F17" s="41" t="str">
        <f aca="false">IF(OR(B17="",E17=""),"",E17-D17)</f>
        <v/>
      </c>
      <c r="G17" s="42" t="str">
        <f aca="false">IF(F17="","",IF(F17&gt;0,"زيادة",IF(F17&lt;0,"عجز","مطابق")))</f>
        <v/>
      </c>
      <c r="H17" s="43" t="n">
        <f aca="false">IF(B17="","",المخزن!H17)</f>
        <v>360</v>
      </c>
      <c r="I17" s="44" t="str">
        <f aca="false">IF(F17="","",F17*H17)</f>
        <v/>
      </c>
      <c r="J17" s="22"/>
    </row>
    <row r="18" customFormat="false" ht="15" hidden="false" customHeight="true" outlineLevel="0" collapsed="false">
      <c r="A18" s="36" t="n">
        <f aca="false">IF(B18="","",ROW()-1)</f>
        <v>17</v>
      </c>
      <c r="B18" s="37" t="str">
        <f aca="false">IF(المخزن!B18="","",المخزن!B18)</f>
        <v>تي شيرت مقلم عرض</v>
      </c>
      <c r="C18" s="38" t="str">
        <f aca="false">IF(B18="","",المخزن!C18)</f>
        <v>2000000000017</v>
      </c>
      <c r="D18" s="39" t="n">
        <f aca="false">IF($B18="","",المخزن!G18)</f>
        <v>4</v>
      </c>
      <c r="E18" s="40"/>
      <c r="F18" s="41" t="str">
        <f aca="false">IF(OR(B18="",E18=""),"",E18-D18)</f>
        <v/>
      </c>
      <c r="G18" s="42" t="str">
        <f aca="false">IF(F18="","",IF(F18&gt;0,"زيادة",IF(F18&lt;0,"عجز","مطابق")))</f>
        <v/>
      </c>
      <c r="H18" s="43" t="n">
        <f aca="false">IF(B18="","",المخزن!H18)</f>
        <v>295</v>
      </c>
      <c r="I18" s="44" t="str">
        <f aca="false">IF(F18="","",F18*H18)</f>
        <v/>
      </c>
      <c r="J18" s="22"/>
    </row>
    <row r="19" customFormat="false" ht="15" hidden="false" customHeight="true" outlineLevel="0" collapsed="false">
      <c r="A19" s="36" t="n">
        <f aca="false">IF(B19="","",ROW()-1)</f>
        <v>18</v>
      </c>
      <c r="B19" s="37" t="str">
        <f aca="false">IF(المخزن!B19="","",المخزن!B19)</f>
        <v>تي شيرت فري كم</v>
      </c>
      <c r="C19" s="38" t="str">
        <f aca="false">IF(B19="","",المخزن!C19)</f>
        <v>2000000000018</v>
      </c>
      <c r="D19" s="39" t="n">
        <f aca="false">IF($B19="","",المخزن!G19)</f>
        <v>1</v>
      </c>
      <c r="E19" s="40"/>
      <c r="F19" s="41" t="str">
        <f aca="false">IF(OR(B19="",E19=""),"",E19-D19)</f>
        <v/>
      </c>
      <c r="G19" s="42" t="str">
        <f aca="false">IF(F19="","",IF(F19&gt;0,"زيادة",IF(F19&lt;0,"عجز","مطابق")))</f>
        <v/>
      </c>
      <c r="H19" s="43" t="n">
        <f aca="false">IF(B19="","",المخزن!H19)</f>
        <v>320</v>
      </c>
      <c r="I19" s="44" t="str">
        <f aca="false">IF(F19="","",F19*H19)</f>
        <v/>
      </c>
      <c r="J19" s="22"/>
    </row>
    <row r="20" customFormat="false" ht="15" hidden="false" customHeight="true" outlineLevel="0" collapsed="false">
      <c r="A20" s="36" t="n">
        <f aca="false">IF(B20="","",ROW()-1)</f>
        <v>19</v>
      </c>
      <c r="B20" s="37" t="str">
        <f aca="false">IF(المخزن!B20="","",المخزن!B20)</f>
        <v>تي شيرت ليمون</v>
      </c>
      <c r="C20" s="38" t="str">
        <f aca="false">IF(B20="","",المخزن!C20)</f>
        <v>2000000000019</v>
      </c>
      <c r="D20" s="39" t="n">
        <f aca="false">IF($B20="","",المخزن!G20)</f>
        <v>2</v>
      </c>
      <c r="E20" s="40"/>
      <c r="F20" s="41" t="str">
        <f aca="false">IF(OR(B20="",E20=""),"",E20-D20)</f>
        <v/>
      </c>
      <c r="G20" s="42" t="str">
        <f aca="false">IF(F20="","",IF(F20&gt;0,"زيادة",IF(F20&lt;0,"عجز","مطابق")))</f>
        <v/>
      </c>
      <c r="H20" s="43" t="n">
        <f aca="false">IF(B20="","",المخزن!H20)</f>
        <v>490</v>
      </c>
      <c r="I20" s="44" t="str">
        <f aca="false">IF(F20="","",F20*H20)</f>
        <v/>
      </c>
      <c r="J20" s="22"/>
    </row>
    <row r="21" customFormat="false" ht="15" hidden="false" customHeight="true" outlineLevel="0" collapsed="false">
      <c r="A21" s="36" t="n">
        <f aca="false">IF(B21="","",ROW()-1)</f>
        <v>20</v>
      </c>
      <c r="B21" s="37" t="str">
        <f aca="false">IF(المخزن!B21="","",المخزن!B21)</f>
        <v>تي شيرت فولكفر ديور</v>
      </c>
      <c r="C21" s="38" t="str">
        <f aca="false">IF(B21="","",المخزن!C21)</f>
        <v>2000000000020</v>
      </c>
      <c r="D21" s="39" t="n">
        <f aca="false">IF($B21="","",المخزن!G21)</f>
        <v>1</v>
      </c>
      <c r="E21" s="40"/>
      <c r="F21" s="41" t="str">
        <f aca="false">IF(OR(B21="",E21=""),"",E21-D21)</f>
        <v/>
      </c>
      <c r="G21" s="42" t="str">
        <f aca="false">IF(F21="","",IF(F21&gt;0,"زيادة",IF(F21&lt;0,"عجز","مطابق")))</f>
        <v/>
      </c>
      <c r="H21" s="43" t="n">
        <f aca="false">IF(B21="","",المخزن!H21)</f>
        <v>410</v>
      </c>
      <c r="I21" s="44" t="str">
        <f aca="false">IF(F21="","",F21*H21)</f>
        <v/>
      </c>
      <c r="J21" s="22"/>
    </row>
    <row r="22" customFormat="false" ht="15" hidden="false" customHeight="true" outlineLevel="0" collapsed="false">
      <c r="A22" s="36" t="n">
        <f aca="false">IF(B22="","",ROW()-1)</f>
        <v>21</v>
      </c>
      <c r="B22" s="37" t="str">
        <f aca="false">IF(المخزن!B22="","",المخزن!B22)</f>
        <v>هودي 2سوستة شتوي</v>
      </c>
      <c r="C22" s="38" t="str">
        <f aca="false">IF(B22="","",المخزن!C22)</f>
        <v>2000000000021</v>
      </c>
      <c r="D22" s="39" t="n">
        <f aca="false">IF($B22="","",المخزن!G22)</f>
        <v>1</v>
      </c>
      <c r="E22" s="40"/>
      <c r="F22" s="41" t="str">
        <f aca="false">IF(OR(B22="",E22=""),"",E22-D22)</f>
        <v/>
      </c>
      <c r="G22" s="42" t="str">
        <f aca="false">IF(F22="","",IF(F22&gt;0,"زيادة",IF(F22&lt;0,"عجز","مطابق")))</f>
        <v/>
      </c>
      <c r="H22" s="43" t="n">
        <f aca="false">IF(B22="","",المخزن!H22)</f>
        <v>380</v>
      </c>
      <c r="I22" s="44" t="str">
        <f aca="false">IF(F22="","",F22*H22)</f>
        <v/>
      </c>
      <c r="J22" s="22"/>
    </row>
    <row r="23" customFormat="false" ht="15" hidden="false" customHeight="true" outlineLevel="0" collapsed="false">
      <c r="A23" s="36" t="n">
        <f aca="false">IF(B23="","",ROW()-1)</f>
        <v>22</v>
      </c>
      <c r="B23" s="37" t="str">
        <f aca="false">IF(المخزن!B23="","",المخزن!B23)</f>
        <v>تي شيرت بلانكو جديد</v>
      </c>
      <c r="C23" s="38" t="str">
        <f aca="false">IF(B23="","",المخزن!C23)</f>
        <v>2000000000022</v>
      </c>
      <c r="D23" s="39" t="n">
        <f aca="false">IF($B23="","",المخزن!G23)</f>
        <v>7</v>
      </c>
      <c r="E23" s="40"/>
      <c r="F23" s="41" t="str">
        <f aca="false">IF(OR(B23="",E23=""),"",E23-D23)</f>
        <v/>
      </c>
      <c r="G23" s="42" t="str">
        <f aca="false">IF(F23="","",IF(F23&gt;0,"زيادة",IF(F23&lt;0,"عجز","مطابق")))</f>
        <v/>
      </c>
      <c r="H23" s="43" t="n">
        <f aca="false">IF(B23="","",المخزن!H23)</f>
        <v>490</v>
      </c>
      <c r="I23" s="44" t="str">
        <f aca="false">IF(F23="","",F23*H23)</f>
        <v/>
      </c>
      <c r="J23" s="22"/>
    </row>
    <row r="24" customFormat="false" ht="15" hidden="false" customHeight="true" outlineLevel="0" collapsed="false">
      <c r="A24" s="36" t="n">
        <f aca="false">IF(B24="","",ROW()-1)</f>
        <v>23</v>
      </c>
      <c r="B24" s="37" t="str">
        <f aca="false">IF(المخزن!B24="","",المخزن!B24)</f>
        <v>تي شيرت فري عرض</v>
      </c>
      <c r="C24" s="38" t="str">
        <f aca="false">IF(B24="","",المخزن!C24)</f>
        <v>2000000000023</v>
      </c>
      <c r="D24" s="39" t="n">
        <f aca="false">IF($B24="","",المخزن!G24)</f>
        <v>19</v>
      </c>
      <c r="E24" s="40"/>
      <c r="F24" s="41" t="str">
        <f aca="false">IF(OR(B24="",E24=""),"",E24-D24)</f>
        <v/>
      </c>
      <c r="G24" s="42" t="str">
        <f aca="false">IF(F24="","",IF(F24&gt;0,"زيادة",IF(F24&lt;0,"عجز","مطابق")))</f>
        <v/>
      </c>
      <c r="H24" s="43" t="n">
        <f aca="false">IF(B24="","",المخزن!H24)</f>
        <v>250</v>
      </c>
      <c r="I24" s="44" t="str">
        <f aca="false">IF(F24="","",F24*H24)</f>
        <v/>
      </c>
      <c r="J24" s="22"/>
    </row>
    <row r="25" customFormat="false" ht="15" hidden="false" customHeight="true" outlineLevel="0" collapsed="false">
      <c r="A25" s="36" t="n">
        <f aca="false">IF(B25="","",ROW()-1)</f>
        <v>24</v>
      </c>
      <c r="B25" s="37" t="str">
        <f aca="false">IF(المخزن!B25="","",المخزن!B25)</f>
        <v>تي شيرت فري جلد</v>
      </c>
      <c r="C25" s="38" t="str">
        <f aca="false">IF(B25="","",المخزن!C25)</f>
        <v>2000000000024</v>
      </c>
      <c r="D25" s="39" t="n">
        <f aca="false">IF($B25="","",المخزن!G25)</f>
        <v>3</v>
      </c>
      <c r="E25" s="40"/>
      <c r="F25" s="41" t="str">
        <f aca="false">IF(OR(B25="",E25=""),"",E25-D25)</f>
        <v/>
      </c>
      <c r="G25" s="42" t="str">
        <f aca="false">IF(F25="","",IF(F25&gt;0,"زيادة",IF(F25&lt;0,"عجز","مطابق")))</f>
        <v/>
      </c>
      <c r="H25" s="43" t="n">
        <f aca="false">IF(B25="","",المخزن!H25)</f>
        <v>510</v>
      </c>
      <c r="I25" s="44" t="str">
        <f aca="false">IF(F25="","",F25*H25)</f>
        <v/>
      </c>
      <c r="J25" s="22"/>
    </row>
    <row r="26" customFormat="false" ht="15" hidden="false" customHeight="true" outlineLevel="0" collapsed="false">
      <c r="A26" s="36" t="n">
        <f aca="false">IF(B26="","",ROW()-1)</f>
        <v>25</v>
      </c>
      <c r="B26" s="37" t="str">
        <f aca="false">IF(المخزن!B26="","",المخزن!B26)</f>
        <v>تي شيرت فري طباعة رابر</v>
      </c>
      <c r="C26" s="38" t="str">
        <f aca="false">IF(B26="","",المخزن!C26)</f>
        <v>2000000000025</v>
      </c>
      <c r="D26" s="39" t="n">
        <f aca="false">IF($B26="","",المخزن!G26)</f>
        <v>6</v>
      </c>
      <c r="E26" s="40"/>
      <c r="F26" s="41" t="str">
        <f aca="false">IF(OR(B26="",E26=""),"",E26-D26)</f>
        <v/>
      </c>
      <c r="G26" s="42" t="str">
        <f aca="false">IF(F26="","",IF(F26&gt;0,"زيادة",IF(F26&lt;0,"عجز","مطابق")))</f>
        <v/>
      </c>
      <c r="H26" s="43" t="n">
        <f aca="false">IF(B26="","",المخزن!H26)</f>
        <v>390</v>
      </c>
      <c r="I26" s="44" t="str">
        <f aca="false">IF(F26="","",F26*H26)</f>
        <v/>
      </c>
      <c r="J26" s="22"/>
    </row>
    <row r="27" customFormat="false" ht="15" hidden="false" customHeight="true" outlineLevel="0" collapsed="false">
      <c r="A27" s="36" t="n">
        <f aca="false">IF(B27="","",ROW()-1)</f>
        <v>26</v>
      </c>
      <c r="B27" s="37" t="str">
        <f aca="false">IF(المخزن!B27="","",المخزن!B27)</f>
        <v>كات فري</v>
      </c>
      <c r="C27" s="38" t="str">
        <f aca="false">IF(B27="","",المخزن!C27)</f>
        <v>2000000000026</v>
      </c>
      <c r="D27" s="39" t="n">
        <f aca="false">IF($B27="","",المخزن!G27)</f>
        <v>3</v>
      </c>
      <c r="E27" s="40"/>
      <c r="F27" s="41" t="str">
        <f aca="false">IF(OR(B27="",E27=""),"",E27-D27)</f>
        <v/>
      </c>
      <c r="G27" s="42" t="str">
        <f aca="false">IF(F27="","",IF(F27&gt;0,"زيادة",IF(F27&lt;0,"عجز","مطابق")))</f>
        <v/>
      </c>
      <c r="H27" s="43" t="n">
        <f aca="false">IF(B27="","",المخزن!H27)</f>
        <v>270</v>
      </c>
      <c r="I27" s="44" t="str">
        <f aca="false">IF(F27="","",F27*H27)</f>
        <v/>
      </c>
      <c r="J27" s="22"/>
    </row>
    <row r="28" customFormat="false" ht="15" hidden="false" customHeight="true" outlineLevel="0" collapsed="false">
      <c r="A28" s="36" t="n">
        <f aca="false">IF(B28="","",ROW()-1)</f>
        <v>27</v>
      </c>
      <c r="B28" s="37" t="str">
        <f aca="false">IF(المخزن!B28="","",المخزن!B28)</f>
        <v>كات BOSS</v>
      </c>
      <c r="C28" s="38" t="str">
        <f aca="false">IF(B28="","",المخزن!C28)</f>
        <v>2000000000027</v>
      </c>
      <c r="D28" s="39" t="n">
        <f aca="false">IF($B28="","",المخزن!G28)</f>
        <v>5</v>
      </c>
      <c r="E28" s="40"/>
      <c r="F28" s="41" t="str">
        <f aca="false">IF(OR(B28="",E28=""),"",E28-D28)</f>
        <v/>
      </c>
      <c r="G28" s="42" t="str">
        <f aca="false">IF(F28="","",IF(F28&gt;0,"زيادة",IF(F28&lt;0,"عجز","مطابق")))</f>
        <v/>
      </c>
      <c r="H28" s="43" t="n">
        <f aca="false">IF(B28="","",المخزن!H28)</f>
        <v>290</v>
      </c>
      <c r="I28" s="44" t="str">
        <f aca="false">IF(F28="","",F28*H28)</f>
        <v/>
      </c>
      <c r="J28" s="22"/>
    </row>
    <row r="29" customFormat="false" ht="15" hidden="false" customHeight="true" outlineLevel="0" collapsed="false">
      <c r="A29" s="36" t="n">
        <f aca="false">IF(B29="","",ROW()-1)</f>
        <v>28</v>
      </c>
      <c r="B29" s="37" t="str">
        <f aca="false">IF(المخزن!B29="","",المخزن!B29)</f>
        <v>تي شيرت صيني</v>
      </c>
      <c r="C29" s="38" t="str">
        <f aca="false">IF(B29="","",المخزن!C29)</f>
        <v>2000000000028</v>
      </c>
      <c r="D29" s="39" t="n">
        <f aca="false">IF($B29="","",المخزن!G29)</f>
        <v>0</v>
      </c>
      <c r="E29" s="40"/>
      <c r="F29" s="41" t="str">
        <f aca="false">IF(OR(B29="",E29=""),"",E29-D29)</f>
        <v/>
      </c>
      <c r="G29" s="42" t="str">
        <f aca="false">IF(F29="","",IF(F29&gt;0,"زيادة",IF(F29&lt;0,"عجز","مطابق")))</f>
        <v/>
      </c>
      <c r="H29" s="43" t="n">
        <f aca="false">IF(B29="","",المخزن!H29)</f>
        <v>295</v>
      </c>
      <c r="I29" s="44" t="str">
        <f aca="false">IF(F29="","",F29*H29)</f>
        <v/>
      </c>
      <c r="J29" s="22"/>
    </row>
    <row r="30" customFormat="false" ht="15" hidden="false" customHeight="true" outlineLevel="0" collapsed="false">
      <c r="A30" s="36" t="n">
        <f aca="false">IF(B30="","",ROW()-1)</f>
        <v>29</v>
      </c>
      <c r="B30" s="37" t="str">
        <f aca="false">IF(المخزن!B30="","",المخزن!B30)</f>
        <v>تي شيرت دبل فيس</v>
      </c>
      <c r="C30" s="38" t="str">
        <f aca="false">IF(B30="","",المخزن!C30)</f>
        <v>2000000000029</v>
      </c>
      <c r="D30" s="39" t="n">
        <f aca="false">IF($B30="","",المخزن!G30)</f>
        <v>2</v>
      </c>
      <c r="E30" s="40"/>
      <c r="F30" s="41" t="str">
        <f aca="false">IF(OR(B30="",E30=""),"",E30-D30)</f>
        <v/>
      </c>
      <c r="G30" s="42" t="str">
        <f aca="false">IF(F30="","",IF(F30&gt;0,"زيادة",IF(F30&lt;0,"عجز","مطابق")))</f>
        <v/>
      </c>
      <c r="H30" s="43" t="n">
        <f aca="false">IF(B30="","",المخزن!H30)</f>
        <v>450</v>
      </c>
      <c r="I30" s="44" t="str">
        <f aca="false">IF(F30="","",F30*H30)</f>
        <v/>
      </c>
      <c r="J30" s="22"/>
    </row>
    <row r="31" customFormat="false" ht="15" hidden="false" customHeight="true" outlineLevel="0" collapsed="false">
      <c r="A31" s="36" t="n">
        <f aca="false">IF(B31="","",ROW()-1)</f>
        <v>30</v>
      </c>
      <c r="B31" s="37" t="str">
        <f aca="false">IF(المخزن!B31="","",المخزن!B31)</f>
        <v>سوت تي شيرت كابو</v>
      </c>
      <c r="C31" s="38" t="str">
        <f aca="false">IF(B31="","",المخزن!C31)</f>
        <v>2000000000030</v>
      </c>
      <c r="D31" s="39" t="n">
        <f aca="false">IF($B31="","",المخزن!G31)</f>
        <v>1</v>
      </c>
      <c r="E31" s="40"/>
      <c r="F31" s="41" t="str">
        <f aca="false">IF(OR(B31="",E31=""),"",E31-D31)</f>
        <v/>
      </c>
      <c r="G31" s="42" t="str">
        <f aca="false">IF(F31="","",IF(F31&gt;0,"زيادة",IF(F31&lt;0,"عجز","مطابق")))</f>
        <v/>
      </c>
      <c r="H31" s="43" t="n">
        <f aca="false">IF(B31="","",المخزن!H31)</f>
        <v>370</v>
      </c>
      <c r="I31" s="44" t="str">
        <f aca="false">IF(F31="","",F31*H31)</f>
        <v/>
      </c>
      <c r="J31" s="22"/>
    </row>
    <row r="32" customFormat="false" ht="15" hidden="false" customHeight="true" outlineLevel="0" collapsed="false">
      <c r="A32" s="36" t="n">
        <f aca="false">IF(B32="","",ROW()-1)</f>
        <v>31</v>
      </c>
      <c r="B32" s="37" t="str">
        <f aca="false">IF(المخزن!B32="","",المخزن!B32)</f>
        <v>سوت كتان كم</v>
      </c>
      <c r="C32" s="38" t="str">
        <f aca="false">IF(B32="","",المخزن!C32)</f>
        <v>2000000000031</v>
      </c>
      <c r="D32" s="39" t="n">
        <f aca="false">IF($B32="","",المخزن!G32)</f>
        <v>1</v>
      </c>
      <c r="E32" s="40"/>
      <c r="F32" s="41" t="str">
        <f aca="false">IF(OR(B32="",E32=""),"",E32-D32)</f>
        <v/>
      </c>
      <c r="G32" s="42" t="str">
        <f aca="false">IF(F32="","",IF(F32&gt;0,"زيادة",IF(F32&lt;0,"عجز","مطابق")))</f>
        <v/>
      </c>
      <c r="H32" s="43" t="n">
        <f aca="false">IF(B32="","",المخزن!H32)</f>
        <v>410</v>
      </c>
      <c r="I32" s="44" t="str">
        <f aca="false">IF(F32="","",F32*H32)</f>
        <v/>
      </c>
      <c r="J32" s="22"/>
    </row>
    <row r="33" customFormat="false" ht="15" hidden="false" customHeight="true" outlineLevel="0" collapsed="false">
      <c r="A33" s="36" t="n">
        <f aca="false">IF(B33="","",ROW()-1)</f>
        <v>32</v>
      </c>
      <c r="B33" s="37" t="str">
        <f aca="false">IF(المخزن!B33="","",المخزن!B33)</f>
        <v>سوت كتان نص كم</v>
      </c>
      <c r="C33" s="38" t="str">
        <f aca="false">IF(B33="","",المخزن!C33)</f>
        <v>2000000000032</v>
      </c>
      <c r="D33" s="39" t="n">
        <f aca="false">IF($B33="","",المخزن!G33)</f>
        <v>1</v>
      </c>
      <c r="E33" s="40"/>
      <c r="F33" s="41" t="str">
        <f aca="false">IF(OR(B33="",E33=""),"",E33-D33)</f>
        <v/>
      </c>
      <c r="G33" s="42" t="str">
        <f aca="false">IF(F33="","",IF(F33&gt;0,"زيادة",IF(F33&lt;0,"عجز","مطابق")))</f>
        <v/>
      </c>
      <c r="H33" s="43" t="n">
        <f aca="false">IF(B33="","",المخزن!H33)</f>
        <v>370</v>
      </c>
      <c r="I33" s="44" t="str">
        <f aca="false">IF(F33="","",F33*H33)</f>
        <v/>
      </c>
      <c r="J33" s="22"/>
    </row>
    <row r="34" customFormat="false" ht="15" hidden="false" customHeight="true" outlineLevel="0" collapsed="false">
      <c r="A34" s="36" t="n">
        <f aca="false">IF(B34="","",ROW()-1)</f>
        <v>33</v>
      </c>
      <c r="B34" s="37" t="str">
        <f aca="false">IF(المخزن!B34="","",المخزن!B34)</f>
        <v>قميص كوريشة</v>
      </c>
      <c r="C34" s="38" t="str">
        <f aca="false">IF(B34="","",المخزن!C34)</f>
        <v>2000000000033</v>
      </c>
      <c r="D34" s="39" t="n">
        <f aca="false">IF($B34="","",المخزن!G34)</f>
        <v>4</v>
      </c>
      <c r="E34" s="40"/>
      <c r="F34" s="41" t="str">
        <f aca="false">IF(OR(B34="",E34=""),"",E34-D34)</f>
        <v/>
      </c>
      <c r="G34" s="42" t="str">
        <f aca="false">IF(F34="","",IF(F34&gt;0,"زيادة",IF(F34&lt;0,"عجز","مطابق")))</f>
        <v/>
      </c>
      <c r="H34" s="43" t="n">
        <f aca="false">IF(B34="","",المخزن!H34)</f>
        <v>170</v>
      </c>
      <c r="I34" s="44" t="str">
        <f aca="false">IF(F34="","",F34*H34)</f>
        <v/>
      </c>
      <c r="J34" s="22"/>
    </row>
    <row r="35" customFormat="false" ht="15" hidden="false" customHeight="true" outlineLevel="0" collapsed="false">
      <c r="A35" s="36" t="n">
        <f aca="false">IF(B35="","",ROW()-1)</f>
        <v>34</v>
      </c>
      <c r="B35" s="37" t="str">
        <f aca="false">IF(المخزن!B35="","",المخزن!B35)</f>
        <v>قميص سبرينج سادة</v>
      </c>
      <c r="C35" s="38" t="str">
        <f aca="false">IF(B35="","",المخزن!C35)</f>
        <v>2000000000034</v>
      </c>
      <c r="D35" s="39" t="n">
        <f aca="false">IF($B35="","",المخزن!G35)</f>
        <v>7</v>
      </c>
      <c r="E35" s="40"/>
      <c r="F35" s="41" t="str">
        <f aca="false">IF(OR(B35="",E35=""),"",E35-D35)</f>
        <v/>
      </c>
      <c r="G35" s="42" t="str">
        <f aca="false">IF(F35="","",IF(F35&gt;0,"زيادة",IF(F35&lt;0,"عجز","مطابق")))</f>
        <v/>
      </c>
      <c r="H35" s="43" t="n">
        <f aca="false">IF(B35="","",المخزن!H35)</f>
        <v>300</v>
      </c>
      <c r="I35" s="44" t="str">
        <f aca="false">IF(F35="","",F35*H35)</f>
        <v/>
      </c>
      <c r="J35" s="22"/>
    </row>
    <row r="36" customFormat="false" ht="15" hidden="false" customHeight="true" outlineLevel="0" collapsed="false">
      <c r="A36" s="36" t="n">
        <f aca="false">IF(B36="","",ROW()-1)</f>
        <v>35</v>
      </c>
      <c r="B36" s="37" t="str">
        <f aca="false">IF(المخزن!B36="","",المخزن!B36)</f>
        <v>قميص كتان</v>
      </c>
      <c r="C36" s="38" t="str">
        <f aca="false">IF(B36="","",المخزن!C36)</f>
        <v>2000000000035</v>
      </c>
      <c r="D36" s="39" t="n">
        <f aca="false">IF($B36="","",المخزن!G36)</f>
        <v>7</v>
      </c>
      <c r="E36" s="40"/>
      <c r="F36" s="41" t="str">
        <f aca="false">IF(OR(B36="",E36=""),"",E36-D36)</f>
        <v/>
      </c>
      <c r="G36" s="42" t="str">
        <f aca="false">IF(F36="","",IF(F36&gt;0,"زيادة",IF(F36&lt;0,"عجز","مطابق")))</f>
        <v/>
      </c>
      <c r="H36" s="43" t="n">
        <f aca="false">IF(B36="","",المخزن!H36)</f>
        <v>210</v>
      </c>
      <c r="I36" s="44" t="str">
        <f aca="false">IF(F36="","",F36*H36)</f>
        <v/>
      </c>
      <c r="J36" s="22"/>
    </row>
    <row r="37" customFormat="false" ht="15" hidden="false" customHeight="true" outlineLevel="0" collapsed="false">
      <c r="A37" s="36" t="n">
        <f aca="false">IF(B37="","",ROW()-1)</f>
        <v>36</v>
      </c>
      <c r="B37" s="37" t="str">
        <f aca="false">IF(المخزن!B37="","",المخزن!B37)</f>
        <v>قميص جينز تقيل سبرينج</v>
      </c>
      <c r="C37" s="38" t="str">
        <f aca="false">IF(B37="","",المخزن!C37)</f>
        <v>2000000000036</v>
      </c>
      <c r="D37" s="39" t="n">
        <f aca="false">IF($B37="","",المخزن!G37)</f>
        <v>2</v>
      </c>
      <c r="E37" s="40"/>
      <c r="F37" s="41" t="str">
        <f aca="false">IF(OR(B37="",E37=""),"",E37-D37)</f>
        <v/>
      </c>
      <c r="G37" s="42" t="str">
        <f aca="false">IF(F37="","",IF(F37&gt;0,"زيادة",IF(F37&lt;0,"عجز","مطابق")))</f>
        <v/>
      </c>
      <c r="H37" s="43" t="n">
        <f aca="false">IF(B37="","",المخزن!H37)</f>
        <v>550</v>
      </c>
      <c r="I37" s="44" t="str">
        <f aca="false">IF(F37="","",F37*H37)</f>
        <v/>
      </c>
      <c r="J37" s="22"/>
    </row>
    <row r="38" customFormat="false" ht="15" hidden="false" customHeight="true" outlineLevel="0" collapsed="false">
      <c r="A38" s="36" t="n">
        <f aca="false">IF(B38="","",ROW()-1)</f>
        <v>37</v>
      </c>
      <c r="B38" s="37" t="str">
        <f aca="false">IF(المخزن!B38="","",المخزن!B38)</f>
        <v>قميص امريكان ايجل جينز</v>
      </c>
      <c r="C38" s="38" t="str">
        <f aca="false">IF(B38="","",المخزن!C38)</f>
        <v>2000000000037</v>
      </c>
      <c r="D38" s="39" t="n">
        <f aca="false">IF($B38="","",المخزن!G38)</f>
        <v>0</v>
      </c>
      <c r="E38" s="40"/>
      <c r="F38" s="41" t="str">
        <f aca="false">IF(OR(B38="",E38=""),"",E38-D38)</f>
        <v/>
      </c>
      <c r="G38" s="42" t="str">
        <f aca="false">IF(F38="","",IF(F38&gt;0,"زيادة",IF(F38&lt;0,"عجز","مطابق")))</f>
        <v/>
      </c>
      <c r="H38" s="43" t="n">
        <f aca="false">IF(B38="","",المخزن!H38)</f>
        <v>480</v>
      </c>
      <c r="I38" s="44" t="str">
        <f aca="false">IF(F38="","",F38*H38)</f>
        <v/>
      </c>
      <c r="J38" s="22"/>
    </row>
    <row r="39" customFormat="false" ht="15" hidden="false" customHeight="true" outlineLevel="0" collapsed="false">
      <c r="A39" s="36" t="n">
        <f aca="false">IF(B39="","",ROW()-1)</f>
        <v>38</v>
      </c>
      <c r="B39" s="37" t="str">
        <f aca="false">IF(المخزن!B39="","",المخزن!B39)</f>
        <v>قميص كامب جينز</v>
      </c>
      <c r="C39" s="38" t="str">
        <f aca="false">IF(B39="","",المخزن!C39)</f>
        <v>2000000000038</v>
      </c>
      <c r="D39" s="39" t="n">
        <f aca="false">IF($B39="","",المخزن!G39)</f>
        <v>3</v>
      </c>
      <c r="E39" s="40"/>
      <c r="F39" s="41" t="str">
        <f aca="false">IF(OR(B39="",E39=""),"",E39-D39)</f>
        <v/>
      </c>
      <c r="G39" s="42" t="str">
        <f aca="false">IF(F39="","",IF(F39&gt;0,"زيادة",IF(F39&lt;0,"عجز","مطابق")))</f>
        <v/>
      </c>
      <c r="H39" s="43" t="n">
        <f aca="false">IF(B39="","",المخزن!H39)</f>
        <v>550</v>
      </c>
      <c r="I39" s="44" t="str">
        <f aca="false">IF(F39="","",F39*H39)</f>
        <v/>
      </c>
      <c r="J39" s="22"/>
    </row>
    <row r="40" customFormat="false" ht="15" hidden="false" customHeight="true" outlineLevel="0" collapsed="false">
      <c r="A40" s="36" t="n">
        <f aca="false">IF(B40="","",ROW()-1)</f>
        <v>39</v>
      </c>
      <c r="B40" s="37" t="str">
        <f aca="false">IF(المخزن!B40="","",المخزن!B40)</f>
        <v>قميص حربي</v>
      </c>
      <c r="C40" s="38" t="str">
        <f aca="false">IF(B40="","",المخزن!C40)</f>
        <v>2000000000039</v>
      </c>
      <c r="D40" s="39" t="n">
        <f aca="false">IF($B40="","",المخزن!G40)</f>
        <v>2</v>
      </c>
      <c r="E40" s="40"/>
      <c r="F40" s="41" t="str">
        <f aca="false">IF(OR(B40="",E40=""),"",E40-D40)</f>
        <v/>
      </c>
      <c r="G40" s="42" t="str">
        <f aca="false">IF(F40="","",IF(F40&gt;0,"زيادة",IF(F40&lt;0,"عجز","مطابق")))</f>
        <v/>
      </c>
      <c r="H40" s="43" t="n">
        <f aca="false">IF(B40="","",المخزن!H40)</f>
        <v>465</v>
      </c>
      <c r="I40" s="44" t="str">
        <f aca="false">IF(F40="","",F40*H40)</f>
        <v/>
      </c>
      <c r="J40" s="22"/>
    </row>
    <row r="41" customFormat="false" ht="15" hidden="false" customHeight="true" outlineLevel="0" collapsed="false">
      <c r="A41" s="36" t="n">
        <f aca="false">IF(B41="","",ROW()-1)</f>
        <v>40</v>
      </c>
      <c r="B41" s="37" t="str">
        <f aca="false">IF(المخزن!B41="","",المخزن!B41)</f>
        <v>جبردين استك ZARA</v>
      </c>
      <c r="C41" s="38" t="str">
        <f aca="false">IF(B41="","",المخزن!C41)</f>
        <v>2000000000040</v>
      </c>
      <c r="D41" s="39" t="n">
        <f aca="false">IF($B41="","",المخزن!G41)</f>
        <v>4</v>
      </c>
      <c r="E41" s="40"/>
      <c r="F41" s="41" t="str">
        <f aca="false">IF(OR(B41="",E41=""),"",E41-D41)</f>
        <v/>
      </c>
      <c r="G41" s="42" t="str">
        <f aca="false">IF(F41="","",IF(F41&gt;0,"زيادة",IF(F41&lt;0,"عجز","مطابق")))</f>
        <v/>
      </c>
      <c r="H41" s="43" t="n">
        <f aca="false">IF(B41="","",المخزن!H41)</f>
        <v>380</v>
      </c>
      <c r="I41" s="44" t="str">
        <f aca="false">IF(F41="","",F41*H41)</f>
        <v/>
      </c>
      <c r="J41" s="22"/>
    </row>
    <row r="42" customFormat="false" ht="15" hidden="false" customHeight="true" outlineLevel="0" collapsed="false">
      <c r="A42" s="36" t="n">
        <f aca="false">IF(B42="","",ROW()-1)</f>
        <v>41</v>
      </c>
      <c r="B42" s="37" t="str">
        <f aca="false">IF(المخزن!B42="","",المخزن!B42)</f>
        <v>سوفت CABO</v>
      </c>
      <c r="C42" s="38" t="str">
        <f aca="false">IF(B42="","",المخزن!C42)</f>
        <v>2000000000041</v>
      </c>
      <c r="D42" s="39" t="n">
        <f aca="false">IF($B42="","",المخزن!G42)</f>
        <v>1</v>
      </c>
      <c r="E42" s="40"/>
      <c r="F42" s="41" t="str">
        <f aca="false">IF(OR(B42="",E42=""),"",E42-D42)</f>
        <v/>
      </c>
      <c r="G42" s="42" t="str">
        <f aca="false">IF(F42="","",IF(F42&gt;0,"زيادة",IF(F42&lt;0,"عجز","مطابق")))</f>
        <v/>
      </c>
      <c r="H42" s="43" t="n">
        <f aca="false">IF(B42="","",المخزن!H42)</f>
        <v>375</v>
      </c>
      <c r="I42" s="44" t="str">
        <f aca="false">IF(F42="","",F42*H42)</f>
        <v/>
      </c>
      <c r="J42" s="22"/>
    </row>
    <row r="43" customFormat="false" ht="15" hidden="false" customHeight="true" outlineLevel="0" collapsed="false">
      <c r="A43" s="36" t="n">
        <f aca="false">IF(B43="","",ROW()-1)</f>
        <v>42</v>
      </c>
      <c r="B43" s="37" t="str">
        <f aca="false">IF(المخزن!B43="","",المخزن!B43)</f>
        <v>شروال جبردين VEGAS</v>
      </c>
      <c r="C43" s="38" t="str">
        <f aca="false">IF(B43="","",المخزن!C43)</f>
        <v>2000000000042</v>
      </c>
      <c r="D43" s="39" t="n">
        <f aca="false">IF($B43="","",المخزن!G43)</f>
        <v>2</v>
      </c>
      <c r="E43" s="40"/>
      <c r="F43" s="41" t="str">
        <f aca="false">IF(OR(B43="",E43=""),"",E43-D43)</f>
        <v/>
      </c>
      <c r="G43" s="42" t="str">
        <f aca="false">IF(F43="","",IF(F43&gt;0,"زيادة",IF(F43&lt;0,"عجز","مطابق")))</f>
        <v/>
      </c>
      <c r="H43" s="43" t="n">
        <f aca="false">IF(B43="","",المخزن!H43)</f>
        <v>380</v>
      </c>
      <c r="I43" s="44" t="str">
        <f aca="false">IF(F43="","",F43*H43)</f>
        <v/>
      </c>
      <c r="J43" s="22"/>
    </row>
    <row r="44" customFormat="false" ht="15" hidden="false" customHeight="true" outlineLevel="0" collapsed="false">
      <c r="A44" s="36" t="n">
        <f aca="false">IF(B44="","",ROW()-1)</f>
        <v>43</v>
      </c>
      <c r="B44" s="37" t="str">
        <f aca="false">IF(المخزن!B44="","",المخزن!B44)</f>
        <v>شروال القنطرة</v>
      </c>
      <c r="C44" s="38" t="str">
        <f aca="false">IF(B44="","",المخزن!C44)</f>
        <v>2000000000043</v>
      </c>
      <c r="D44" s="39" t="n">
        <f aca="false">IF($B44="","",المخزن!G44)</f>
        <v>12</v>
      </c>
      <c r="E44" s="40"/>
      <c r="F44" s="41" t="str">
        <f aca="false">IF(OR(B44="",E44=""),"",E44-D44)</f>
        <v/>
      </c>
      <c r="G44" s="42" t="str">
        <f aca="false">IF(F44="","",IF(F44&gt;0,"زيادة",IF(F44&lt;0,"عجز","مطابق")))</f>
        <v/>
      </c>
      <c r="H44" s="43" t="n">
        <f aca="false">IF(B44="","",المخزن!H44)</f>
        <v>280</v>
      </c>
      <c r="I44" s="44" t="str">
        <f aca="false">IF(F44="","",F44*H44)</f>
        <v/>
      </c>
      <c r="J44" s="22"/>
    </row>
    <row r="45" customFormat="false" ht="15" hidden="false" customHeight="true" outlineLevel="0" collapsed="false">
      <c r="A45" s="36" t="n">
        <f aca="false">IF(B45="","",ROW()-1)</f>
        <v>44</v>
      </c>
      <c r="B45" s="37" t="str">
        <f aca="false">IF(المخزن!B45="","",المخزن!B45)</f>
        <v>جوستافو LINE3</v>
      </c>
      <c r="C45" s="38" t="str">
        <f aca="false">IF(B45="","",المخزن!C45)</f>
        <v>2000000000044</v>
      </c>
      <c r="D45" s="39" t="n">
        <f aca="false">IF($B45="","",المخزن!G45)</f>
        <v>7</v>
      </c>
      <c r="E45" s="40"/>
      <c r="F45" s="41" t="str">
        <f aca="false">IF(OR(B45="",E45=""),"",E45-D45)</f>
        <v/>
      </c>
      <c r="G45" s="42" t="str">
        <f aca="false">IF(F45="","",IF(F45&gt;0,"زيادة",IF(F45&lt;0,"عجز","مطابق")))</f>
        <v/>
      </c>
      <c r="H45" s="43" t="n">
        <f aca="false">IF(B45="","",المخزن!H45)</f>
        <v>315</v>
      </c>
      <c r="I45" s="44" t="str">
        <f aca="false">IF(F45="","",F45*H45)</f>
        <v/>
      </c>
      <c r="J45" s="22"/>
    </row>
    <row r="46" customFormat="false" ht="15" hidden="false" customHeight="true" outlineLevel="0" collapsed="false">
      <c r="A46" s="36" t="n">
        <f aca="false">IF(B46="","",ROW()-1)</f>
        <v>45</v>
      </c>
      <c r="B46" s="37" t="str">
        <f aca="false">IF(المخزن!B46="","",المخزن!B46)</f>
        <v>جوستافو رمادي</v>
      </c>
      <c r="C46" s="38" t="str">
        <f aca="false">IF(B46="","",المخزن!C46)</f>
        <v>2000000000045</v>
      </c>
      <c r="D46" s="39" t="n">
        <f aca="false">IF($B46="","",المخزن!G46)</f>
        <v>2</v>
      </c>
      <c r="E46" s="40"/>
      <c r="F46" s="41" t="str">
        <f aca="false">IF(OR(B46="",E46=""),"",E46-D46)</f>
        <v/>
      </c>
      <c r="G46" s="42" t="str">
        <f aca="false">IF(F46="","",IF(F46&gt;0,"زيادة",IF(F46&lt;0,"عجز","مطابق")))</f>
        <v/>
      </c>
      <c r="H46" s="43" t="n">
        <f aca="false">IF(B46="","",المخزن!H46)</f>
        <v>550</v>
      </c>
      <c r="I46" s="44" t="str">
        <f aca="false">IF(F46="","",F46*H46)</f>
        <v/>
      </c>
      <c r="J46" s="22"/>
    </row>
    <row r="47" customFormat="false" ht="15" hidden="false" customHeight="true" outlineLevel="0" collapsed="false">
      <c r="A47" s="36" t="n">
        <f aca="false">IF(B47="","",ROW()-1)</f>
        <v>46</v>
      </c>
      <c r="B47" s="37" t="str">
        <f aca="false">IF(المخزن!B47="","",المخزن!B47)</f>
        <v>جوستافو استك</v>
      </c>
      <c r="C47" s="38" t="str">
        <f aca="false">IF(B47="","",المخزن!C47)</f>
        <v>2000000000046</v>
      </c>
      <c r="D47" s="39" t="n">
        <f aca="false">IF($B47="","",المخزن!G47)</f>
        <v>6</v>
      </c>
      <c r="E47" s="40"/>
      <c r="F47" s="41" t="str">
        <f aca="false">IF(OR(B47="",E47=""),"",E47-D47)</f>
        <v/>
      </c>
      <c r="G47" s="42" t="str">
        <f aca="false">IF(F47="","",IF(F47&gt;0,"زيادة",IF(F47&lt;0,"عجز","مطابق")))</f>
        <v/>
      </c>
      <c r="H47" s="43" t="n">
        <f aca="false">IF(B47="","",المخزن!H47)</f>
        <v>320</v>
      </c>
      <c r="I47" s="44" t="str">
        <f aca="false">IF(F47="","",F47*H47)</f>
        <v/>
      </c>
      <c r="J47" s="22"/>
    </row>
    <row r="48" customFormat="false" ht="15" hidden="false" customHeight="true" outlineLevel="0" collapsed="false">
      <c r="A48" s="36" t="n">
        <f aca="false">IF(B48="","",ROW()-1)</f>
        <v>47</v>
      </c>
      <c r="B48" s="37" t="str">
        <f aca="false">IF(المخزن!B48="","",المخزن!B48)</f>
        <v>شروال كلاسيك</v>
      </c>
      <c r="C48" s="38" t="str">
        <f aca="false">IF(B48="","",المخزن!C48)</f>
        <v>2000000000047</v>
      </c>
      <c r="D48" s="39" t="n">
        <f aca="false">IF($B48="","",المخزن!G48)</f>
        <v>1</v>
      </c>
      <c r="E48" s="40"/>
      <c r="F48" s="41" t="str">
        <f aca="false">IF(OR(B48="",E48=""),"",E48-D48)</f>
        <v/>
      </c>
      <c r="G48" s="42" t="str">
        <f aca="false">IF(F48="","",IF(F48&gt;0,"زيادة",IF(F48&lt;0,"عجز","مطابق")))</f>
        <v/>
      </c>
      <c r="H48" s="43" t="n">
        <f aca="false">IF(B48="","",المخزن!H48)</f>
        <v>450</v>
      </c>
      <c r="I48" s="44" t="str">
        <f aca="false">IF(F48="","",F48*H48)</f>
        <v/>
      </c>
      <c r="J48" s="22"/>
    </row>
    <row r="49" customFormat="false" ht="15" hidden="false" customHeight="true" outlineLevel="0" collapsed="false">
      <c r="A49" s="36" t="n">
        <f aca="false">IF(B49="","",ROW()-1)</f>
        <v>48</v>
      </c>
      <c r="B49" s="37" t="str">
        <f aca="false">IF(المخزن!B49="","",المخزن!B49)</f>
        <v>شروال جبردين BOSS</v>
      </c>
      <c r="C49" s="38" t="str">
        <f aca="false">IF(B49="","",المخزن!C49)</f>
        <v>2000000000048</v>
      </c>
      <c r="D49" s="39" t="n">
        <f aca="false">IF($B49="","",المخزن!G49)</f>
        <v>1</v>
      </c>
      <c r="E49" s="40"/>
      <c r="F49" s="41" t="str">
        <f aca="false">IF(OR(B49="",E49=""),"",E49-D49)</f>
        <v/>
      </c>
      <c r="G49" s="42" t="str">
        <f aca="false">IF(F49="","",IF(F49&gt;0,"زيادة",IF(F49&lt;0,"عجز","مطابق")))</f>
        <v/>
      </c>
      <c r="H49" s="43" t="n">
        <f aca="false">IF(B49="","",المخزن!H49)</f>
        <v>575</v>
      </c>
      <c r="I49" s="44" t="str">
        <f aca="false">IF(F49="","",F49*H49)</f>
        <v/>
      </c>
      <c r="J49" s="22"/>
    </row>
    <row r="50" customFormat="false" ht="15" hidden="false" customHeight="true" outlineLevel="0" collapsed="false">
      <c r="A50" s="36" t="n">
        <f aca="false">IF(B50="","",ROW()-1)</f>
        <v>49</v>
      </c>
      <c r="B50" s="37" t="str">
        <f aca="false">IF(المخزن!B50="","",المخزن!B50)</f>
        <v>كارجو جينز</v>
      </c>
      <c r="C50" s="38" t="str">
        <f aca="false">IF(B50="","",المخزن!C50)</f>
        <v>2000000000049</v>
      </c>
      <c r="D50" s="39" t="n">
        <f aca="false">IF($B50="","",المخزن!G50)</f>
        <v>2</v>
      </c>
      <c r="E50" s="40"/>
      <c r="F50" s="41" t="str">
        <f aca="false">IF(OR(B50="",E50=""),"",E50-D50)</f>
        <v/>
      </c>
      <c r="G50" s="42" t="str">
        <f aca="false">IF(F50="","",IF(F50&gt;0,"زيادة",IF(F50&lt;0,"عجز","مطابق")))</f>
        <v/>
      </c>
      <c r="H50" s="43" t="n">
        <f aca="false">IF(B50="","",المخزن!H50)</f>
        <v>550</v>
      </c>
      <c r="I50" s="44" t="str">
        <f aca="false">IF(F50="","",F50*H50)</f>
        <v/>
      </c>
      <c r="J50" s="22"/>
    </row>
    <row r="51" customFormat="false" ht="15" hidden="false" customHeight="true" outlineLevel="0" collapsed="false">
      <c r="A51" s="36" t="n">
        <f aca="false">IF(B51="","",ROW()-1)</f>
        <v>50</v>
      </c>
      <c r="B51" s="37" t="str">
        <f aca="false">IF(المخزن!B51="","",المخزن!B51)</f>
        <v>ريلاكسيد نحاسي</v>
      </c>
      <c r="C51" s="38" t="str">
        <f aca="false">IF(B51="","",المخزن!C51)</f>
        <v>2000000000050</v>
      </c>
      <c r="D51" s="39" t="n">
        <f aca="false">IF($B51="","",المخزن!G51)</f>
        <v>0</v>
      </c>
      <c r="E51" s="40"/>
      <c r="F51" s="41" t="str">
        <f aca="false">IF(OR(B51="",E51=""),"",E51-D51)</f>
        <v/>
      </c>
      <c r="G51" s="42" t="str">
        <f aca="false">IF(F51="","",IF(F51&gt;0,"زيادة",IF(F51&lt;0,"عجز","مطابق")))</f>
        <v/>
      </c>
      <c r="H51" s="43" t="n">
        <f aca="false">IF(B51="","",المخزن!H51)</f>
        <v>340</v>
      </c>
      <c r="I51" s="44" t="str">
        <f aca="false">IF(F51="","",F51*H51)</f>
        <v/>
      </c>
      <c r="J51" s="22"/>
    </row>
    <row r="52" customFormat="false" ht="15" hidden="false" customHeight="true" outlineLevel="0" collapsed="false">
      <c r="A52" s="36" t="n">
        <f aca="false">IF(B52="","",ROW()-1)</f>
        <v>51</v>
      </c>
      <c r="B52" s="37" t="str">
        <f aca="false">IF(المخزن!B52="","",المخزن!B52)</f>
        <v>وايد ليج كاتنج</v>
      </c>
      <c r="C52" s="38" t="str">
        <f aca="false">IF(B52="","",المخزن!C52)</f>
        <v>2000000000051</v>
      </c>
      <c r="D52" s="39" t="n">
        <f aca="false">IF($B52="","",المخزن!G52)</f>
        <v>1</v>
      </c>
      <c r="E52" s="40"/>
      <c r="F52" s="41" t="str">
        <f aca="false">IF(OR(B52="",E52=""),"",E52-D52)</f>
        <v/>
      </c>
      <c r="G52" s="42" t="str">
        <f aca="false">IF(F52="","",IF(F52&gt;0,"زيادة",IF(F52&lt;0,"عجز","مطابق")))</f>
        <v/>
      </c>
      <c r="H52" s="43" t="n">
        <f aca="false">IF(B52="","",المخزن!H52)</f>
        <v>330</v>
      </c>
      <c r="I52" s="44" t="str">
        <f aca="false">IF(F52="","",F52*H52)</f>
        <v/>
      </c>
      <c r="J52" s="22"/>
    </row>
    <row r="53" customFormat="false" ht="15" hidden="false" customHeight="true" outlineLevel="0" collapsed="false">
      <c r="A53" s="36" t="n">
        <f aca="false">IF(B53="","",ROW()-1)</f>
        <v>52</v>
      </c>
      <c r="B53" s="37" t="str">
        <f aca="false">IF(المخزن!B53="","",المخزن!B53)</f>
        <v>دريب</v>
      </c>
      <c r="C53" s="38" t="str">
        <f aca="false">IF(B53="","",المخزن!C53)</f>
        <v>2000000000052</v>
      </c>
      <c r="D53" s="39" t="n">
        <f aca="false">IF($B53="","",المخزن!G53)</f>
        <v>6</v>
      </c>
      <c r="E53" s="40"/>
      <c r="F53" s="41" t="str">
        <f aca="false">IF(OR(B53="",E53=""),"",E53-D53)</f>
        <v/>
      </c>
      <c r="G53" s="42" t="str">
        <f aca="false">IF(F53="","",IF(F53&gt;0,"زيادة",IF(F53&lt;0,"عجز","مطابق")))</f>
        <v/>
      </c>
      <c r="H53" s="43" t="n">
        <f aca="false">IF(B53="","",المخزن!H53)</f>
        <v>510</v>
      </c>
      <c r="I53" s="44" t="str">
        <f aca="false">IF(F53="","",F53*H53)</f>
        <v/>
      </c>
      <c r="J53" s="22"/>
    </row>
    <row r="54" customFormat="false" ht="15" hidden="false" customHeight="true" outlineLevel="0" collapsed="false">
      <c r="A54" s="36" t="n">
        <f aca="false">IF(B54="","",ROW()-1)</f>
        <v>53</v>
      </c>
      <c r="B54" s="37" t="str">
        <f aca="false">IF(المخزن!B54="","",المخزن!B54)</f>
        <v>وايد ليج ديزل</v>
      </c>
      <c r="C54" s="38" t="str">
        <f aca="false">IF(B54="","",المخزن!C54)</f>
        <v>2000000000053</v>
      </c>
      <c r="D54" s="39" t="n">
        <f aca="false">IF($B54="","",المخزن!G54)</f>
        <v>22</v>
      </c>
      <c r="E54" s="40"/>
      <c r="F54" s="41" t="str">
        <f aca="false">IF(OR(B54="",E54=""),"",E54-D54)</f>
        <v/>
      </c>
      <c r="G54" s="42" t="str">
        <f aca="false">IF(F54="","",IF(F54&gt;0,"زيادة",IF(F54&lt;0,"عجز","مطابق")))</f>
        <v/>
      </c>
      <c r="H54" s="43" t="n">
        <f aca="false">IF(B54="","",المخزن!H54)</f>
        <v>330</v>
      </c>
      <c r="I54" s="44" t="str">
        <f aca="false">IF(F54="","",F54*H54)</f>
        <v/>
      </c>
      <c r="J54" s="22"/>
    </row>
    <row r="55" customFormat="false" ht="15" hidden="false" customHeight="true" outlineLevel="0" collapsed="false">
      <c r="A55" s="36" t="n">
        <f aca="false">IF(B55="","",ROW()-1)</f>
        <v>54</v>
      </c>
      <c r="B55" s="37" t="str">
        <f aca="false">IF(المخزن!B55="","",المخزن!B55)</f>
        <v>بلولاين جي بي اس جديد</v>
      </c>
      <c r="C55" s="38" t="str">
        <f aca="false">IF(B55="","",المخزن!C55)</f>
        <v>2000000000054</v>
      </c>
      <c r="D55" s="39" t="n">
        <f aca="false">IF($B55="","",المخزن!G55)</f>
        <v>1</v>
      </c>
      <c r="E55" s="40"/>
      <c r="F55" s="41" t="str">
        <f aca="false">IF(OR(B55="",E55=""),"",E55-D55)</f>
        <v/>
      </c>
      <c r="G55" s="42" t="str">
        <f aca="false">IF(F55="","",IF(F55&gt;0,"زيادة",IF(F55&lt;0,"عجز","مطابق")))</f>
        <v/>
      </c>
      <c r="H55" s="43" t="n">
        <f aca="false">IF(B55="","",المخزن!H55)</f>
        <v>430</v>
      </c>
      <c r="I55" s="44" t="str">
        <f aca="false">IF(F55="","",F55*H55)</f>
        <v/>
      </c>
      <c r="J55" s="22"/>
    </row>
    <row r="56" customFormat="false" ht="15" hidden="false" customHeight="true" outlineLevel="0" collapsed="false">
      <c r="A56" s="36" t="n">
        <f aca="false">IF(B56="","",ROW()-1)</f>
        <v>55</v>
      </c>
      <c r="B56" s="37" t="str">
        <f aca="false">IF(المخزن!B56="","",المخزن!B56)</f>
        <v>جينز جيب سيليكون</v>
      </c>
      <c r="C56" s="38" t="str">
        <f aca="false">IF(B56="","",المخزن!C56)</f>
        <v>2000000000055</v>
      </c>
      <c r="D56" s="39" t="n">
        <f aca="false">IF($B56="","",المخزن!G56)</f>
        <v>3</v>
      </c>
      <c r="E56" s="40"/>
      <c r="F56" s="41" t="str">
        <f aca="false">IF(OR(B56="",E56=""),"",E56-D56)</f>
        <v/>
      </c>
      <c r="G56" s="42" t="str">
        <f aca="false">IF(F56="","",IF(F56&gt;0,"زيادة",IF(F56&lt;0,"عجز","مطابق")))</f>
        <v/>
      </c>
      <c r="H56" s="43" t="n">
        <f aca="false">IF(B56="","",المخزن!H56)</f>
        <v>360</v>
      </c>
      <c r="I56" s="44" t="str">
        <f aca="false">IF(F56="","",F56*H56)</f>
        <v/>
      </c>
      <c r="J56" s="22"/>
    </row>
    <row r="57" customFormat="false" ht="15" hidden="false" customHeight="true" outlineLevel="0" collapsed="false">
      <c r="A57" s="36" t="n">
        <f aca="false">IF(B57="","",ROW()-1)</f>
        <v>56</v>
      </c>
      <c r="B57" s="37" t="str">
        <f aca="false">IF(المخزن!B57="","",المخزن!B57)</f>
        <v>جينز جيب تطريز بي</v>
      </c>
      <c r="C57" s="38" t="str">
        <f aca="false">IF(B57="","",المخزن!C57)</f>
        <v>2000000000056</v>
      </c>
      <c r="D57" s="39" t="n">
        <f aca="false">IF($B57="","",المخزن!G57)</f>
        <v>1</v>
      </c>
      <c r="E57" s="40"/>
      <c r="F57" s="41" t="str">
        <f aca="false">IF(OR(B57="",E57=""),"",E57-D57)</f>
        <v/>
      </c>
      <c r="G57" s="42" t="str">
        <f aca="false">IF(F57="","",IF(F57&gt;0,"زيادة",IF(F57&lt;0,"عجز","مطابق")))</f>
        <v/>
      </c>
      <c r="H57" s="43" t="n">
        <f aca="false">IF(B57="","",المخزن!H57)</f>
        <v>310</v>
      </c>
      <c r="I57" s="44" t="str">
        <f aca="false">IF(F57="","",F57*H57)</f>
        <v/>
      </c>
      <c r="J57" s="22"/>
    </row>
    <row r="58" customFormat="false" ht="15" hidden="false" customHeight="true" outlineLevel="0" collapsed="false">
      <c r="A58" s="36" t="n">
        <f aca="false">IF(B58="","",ROW()-1)</f>
        <v>57</v>
      </c>
      <c r="B58" s="37" t="str">
        <f aca="false">IF(المخزن!B58="","",المخزن!B58)</f>
        <v>وايد ليج سادة</v>
      </c>
      <c r="C58" s="38" t="str">
        <f aca="false">IF(B58="","",المخزن!C58)</f>
        <v>2000000000057</v>
      </c>
      <c r="D58" s="39" t="n">
        <f aca="false">IF($B58="","",المخزن!G58)</f>
        <v>10</v>
      </c>
      <c r="E58" s="40"/>
      <c r="F58" s="41" t="str">
        <f aca="false">IF(OR(B58="",E58=""),"",E58-D58)</f>
        <v/>
      </c>
      <c r="G58" s="42" t="str">
        <f aca="false">IF(F58="","",IF(F58&gt;0,"زيادة",IF(F58&lt;0,"عجز","مطابق")))</f>
        <v/>
      </c>
      <c r="H58" s="43" t="n">
        <f aca="false">IF(B58="","",المخزن!H58)</f>
        <v>330</v>
      </c>
      <c r="I58" s="44" t="str">
        <f aca="false">IF(F58="","",F58*H58)</f>
        <v/>
      </c>
      <c r="J58" s="22"/>
    </row>
    <row r="59" customFormat="false" ht="15" hidden="false" customHeight="true" outlineLevel="0" collapsed="false">
      <c r="A59" s="36" t="n">
        <f aca="false">IF(B59="","",ROW()-1)</f>
        <v>58</v>
      </c>
      <c r="B59" s="37" t="str">
        <f aca="false">IF(المخزن!B59="","",المخزن!B59)</f>
        <v>بوي فريند حبل</v>
      </c>
      <c r="C59" s="38" t="str">
        <f aca="false">IF(B59="","",المخزن!C59)</f>
        <v>2000000000058</v>
      </c>
      <c r="D59" s="39" t="n">
        <f aca="false">IF($B59="","",المخزن!G59)</f>
        <v>2</v>
      </c>
      <c r="E59" s="40"/>
      <c r="F59" s="41" t="str">
        <f aca="false">IF(OR(B59="",E59=""),"",E59-D59)</f>
        <v/>
      </c>
      <c r="G59" s="42" t="str">
        <f aca="false">IF(F59="","",IF(F59&gt;0,"زيادة",IF(F59&lt;0,"عجز","مطابق")))</f>
        <v/>
      </c>
      <c r="H59" s="43" t="n">
        <f aca="false">IF(B59="","",المخزن!H59)</f>
        <v>320</v>
      </c>
      <c r="I59" s="44" t="str">
        <f aca="false">IF(F59="","",F59*H59)</f>
        <v/>
      </c>
      <c r="J59" s="22"/>
    </row>
    <row r="60" customFormat="false" ht="15" hidden="false" customHeight="true" outlineLevel="0" collapsed="false">
      <c r="A60" s="36" t="n">
        <f aca="false">IF(B60="","",ROW()-1)</f>
        <v>59</v>
      </c>
      <c r="B60" s="37" t="str">
        <f aca="false">IF(المخزن!B60="","",المخزن!B60)</f>
        <v>بوي فريند حزام</v>
      </c>
      <c r="C60" s="38" t="str">
        <f aca="false">IF(B60="","",المخزن!C60)</f>
        <v>2000000000059</v>
      </c>
      <c r="D60" s="39" t="n">
        <f aca="false">IF($B60="","",المخزن!G60)</f>
        <v>7</v>
      </c>
      <c r="E60" s="40"/>
      <c r="F60" s="41" t="str">
        <f aca="false">IF(OR(B60="",E60=""),"",E60-D60)</f>
        <v/>
      </c>
      <c r="G60" s="42" t="str">
        <f aca="false">IF(F60="","",IF(F60&gt;0,"زيادة",IF(F60&lt;0,"عجز","مطابق")))</f>
        <v/>
      </c>
      <c r="H60" s="43" t="n">
        <f aca="false">IF(B60="","",المخزن!H60)</f>
        <v>340</v>
      </c>
      <c r="I60" s="44" t="str">
        <f aca="false">IF(F60="","",F60*H60)</f>
        <v/>
      </c>
      <c r="J60" s="22"/>
    </row>
    <row r="61" customFormat="false" ht="15" hidden="false" customHeight="true" outlineLevel="0" collapsed="false">
      <c r="A61" s="36" t="n">
        <f aca="false">IF(B61="","",ROW()-1)</f>
        <v>60</v>
      </c>
      <c r="B61" s="37" t="str">
        <f aca="false">IF(المخزن!B61="","",المخزن!B61)</f>
        <v>بلولاين القنطرة</v>
      </c>
      <c r="C61" s="38" t="str">
        <f aca="false">IF(B61="","",المخزن!C61)</f>
        <v>2000000000060</v>
      </c>
      <c r="D61" s="39" t="n">
        <f aca="false">IF($B61="","",المخزن!G61)</f>
        <v>2</v>
      </c>
      <c r="E61" s="40"/>
      <c r="F61" s="41" t="str">
        <f aca="false">IF(OR(B61="",E61=""),"",E61-D61)</f>
        <v/>
      </c>
      <c r="G61" s="42" t="str">
        <f aca="false">IF(F61="","",IF(F61&gt;0,"زيادة",IF(F61&lt;0,"عجز","مطابق")))</f>
        <v/>
      </c>
      <c r="H61" s="43" t="n">
        <f aca="false">IF(B61="","",المخزن!H61)</f>
        <v>390</v>
      </c>
      <c r="I61" s="44" t="str">
        <f aca="false">IF(F61="","",F61*H61)</f>
        <v/>
      </c>
      <c r="J61" s="22"/>
    </row>
    <row r="62" customFormat="false" ht="15" hidden="false" customHeight="true" outlineLevel="0" collapsed="false">
      <c r="A62" s="36" t="n">
        <f aca="false">IF(B62="","",ROW()-1)</f>
        <v>61</v>
      </c>
      <c r="B62" s="37" t="str">
        <f aca="false">IF(المخزن!B62="","",المخزن!B62)</f>
        <v>جينز اكس ثري</v>
      </c>
      <c r="C62" s="38" t="str">
        <f aca="false">IF(B62="","",المخزن!C62)</f>
        <v>2000000000061</v>
      </c>
      <c r="D62" s="39" t="n">
        <f aca="false">IF($B62="","",المخزن!G62)</f>
        <v>1</v>
      </c>
      <c r="E62" s="40"/>
      <c r="F62" s="41" t="str">
        <f aca="false">IF(OR(B62="",E62=""),"",E62-D62)</f>
        <v/>
      </c>
      <c r="G62" s="42" t="str">
        <f aca="false">IF(F62="","",IF(F62&gt;0,"زيادة",IF(F62&lt;0,"عجز","مطابق")))</f>
        <v/>
      </c>
      <c r="H62" s="43" t="n">
        <f aca="false">IF(B62="","",المخزن!H62)</f>
        <v>330</v>
      </c>
      <c r="I62" s="44" t="str">
        <f aca="false">IF(F62="","",F62*H62)</f>
        <v/>
      </c>
      <c r="J62" s="22"/>
    </row>
    <row r="63" customFormat="false" ht="15" hidden="false" customHeight="true" outlineLevel="0" collapsed="false">
      <c r="A63" s="36" t="n">
        <f aca="false">IF(B63="","",ROW()-1)</f>
        <v>62</v>
      </c>
      <c r="B63" s="37" t="str">
        <f aca="false">IF(المخزن!B63="","",المخزن!B63)</f>
        <v>بدي قصة</v>
      </c>
      <c r="C63" s="38" t="str">
        <f aca="false">IF(B63="","",المخزن!C63)</f>
        <v>2000000000062</v>
      </c>
      <c r="D63" s="39" t="n">
        <f aca="false">IF($B63="","",المخزن!G63)</f>
        <v>4</v>
      </c>
      <c r="E63" s="40"/>
      <c r="F63" s="41" t="str">
        <f aca="false">IF(OR(B63="",E63=""),"",E63-D63)</f>
        <v/>
      </c>
      <c r="G63" s="42" t="str">
        <f aca="false">IF(F63="","",IF(F63&gt;0,"زيادة",IF(F63&lt;0,"عجز","مطابق")))</f>
        <v/>
      </c>
      <c r="H63" s="43" t="n">
        <f aca="false">IF(B63="","",المخزن!H63)</f>
        <v>160</v>
      </c>
      <c r="I63" s="44" t="str">
        <f aca="false">IF(F63="","",F63*H63)</f>
        <v/>
      </c>
      <c r="J63" s="22"/>
    </row>
    <row r="64" customFormat="false" ht="15" hidden="false" customHeight="true" outlineLevel="0" collapsed="false">
      <c r="A64" s="36" t="n">
        <f aca="false">IF(B64="","",ROW()-1)</f>
        <v>63</v>
      </c>
      <c r="B64" s="37" t="str">
        <f aca="false">IF(المخزن!B64="","",المخزن!B64)</f>
        <v>مايوه نايك</v>
      </c>
      <c r="C64" s="38" t="str">
        <f aca="false">IF(B64="","",المخزن!C64)</f>
        <v>2000000000063</v>
      </c>
      <c r="D64" s="39" t="n">
        <f aca="false">IF($B64="","",المخزن!G64)</f>
        <v>3</v>
      </c>
      <c r="E64" s="40"/>
      <c r="F64" s="41" t="str">
        <f aca="false">IF(OR(B64="",E64=""),"",E64-D64)</f>
        <v/>
      </c>
      <c r="G64" s="42" t="str">
        <f aca="false">IF(F64="","",IF(F64&gt;0,"زيادة",IF(F64&lt;0,"عجز","مطابق")))</f>
        <v/>
      </c>
      <c r="H64" s="43" t="n">
        <f aca="false">IF(B64="","",المخزن!H64)</f>
        <v>115</v>
      </c>
      <c r="I64" s="44" t="str">
        <f aca="false">IF(F64="","",F64*H64)</f>
        <v/>
      </c>
      <c r="J64" s="22"/>
    </row>
    <row r="65" customFormat="false" ht="15" hidden="false" customHeight="true" outlineLevel="0" collapsed="false">
      <c r="A65" s="36" t="n">
        <f aca="false">IF(B65="","",ROW()-1)</f>
        <v>64</v>
      </c>
      <c r="B65" s="37" t="str">
        <f aca="false">IF(المخزن!B65="","",المخزن!B65)</f>
        <v>مايوه كيلفن كلاين</v>
      </c>
      <c r="C65" s="38" t="str">
        <f aca="false">IF(B65="","",المخزن!C65)</f>
        <v>2000000000064</v>
      </c>
      <c r="D65" s="39" t="n">
        <f aca="false">IF($B65="","",المخزن!G65)</f>
        <v>1</v>
      </c>
      <c r="E65" s="40"/>
      <c r="F65" s="41" t="str">
        <f aca="false">IF(OR(B65="",E65=""),"",E65-D65)</f>
        <v/>
      </c>
      <c r="G65" s="42" t="str">
        <f aca="false">IF(F65="","",IF(F65&gt;0,"زيادة",IF(F65&lt;0,"عجز","مطابق")))</f>
        <v/>
      </c>
      <c r="H65" s="43" t="n">
        <f aca="false">IF(B65="","",المخزن!H65)</f>
        <v>210</v>
      </c>
      <c r="I65" s="44" t="str">
        <f aca="false">IF(F65="","",F65*H65)</f>
        <v/>
      </c>
      <c r="J65" s="22"/>
    </row>
    <row r="66" customFormat="false" ht="15" hidden="false" customHeight="true" outlineLevel="0" collapsed="false">
      <c r="A66" s="36" t="n">
        <f aca="false">IF(B66="","",ROW()-1)</f>
        <v>65</v>
      </c>
      <c r="B66" s="37" t="str">
        <f aca="false">IF(المخزن!B66="","",المخزن!B66)</f>
        <v>جينز تمبرلاند</v>
      </c>
      <c r="C66" s="38" t="str">
        <f aca="false">IF(B66="","",المخزن!C66)</f>
        <v>2000000000065</v>
      </c>
      <c r="D66" s="39" t="n">
        <f aca="false">IF($B66="","",المخزن!G66)</f>
        <v>31</v>
      </c>
      <c r="E66" s="40"/>
      <c r="F66" s="41" t="str">
        <f aca="false">IF(OR(B66="",E66=""),"",E66-D66)</f>
        <v/>
      </c>
      <c r="G66" s="42" t="str">
        <f aca="false">IF(F66="","",IF(F66&gt;0,"زيادة",IF(F66&lt;0,"عجز","مطابق")))</f>
        <v/>
      </c>
      <c r="H66" s="43" t="n">
        <f aca="false">IF(B66="","",المخزن!H66)</f>
        <v>315</v>
      </c>
      <c r="I66" s="44" t="str">
        <f aca="false">IF(F66="","",F66*H66)</f>
        <v/>
      </c>
      <c r="J66" s="22"/>
    </row>
    <row r="67" customFormat="false" ht="15" hidden="false" customHeight="true" outlineLevel="0" collapsed="false">
      <c r="A67" s="36" t="n">
        <f aca="false">IF(B67="","",ROW()-1)</f>
        <v>66</v>
      </c>
      <c r="B67" s="37" t="str">
        <f aca="false">IF(المخزن!B67="","",المخزن!B67)</f>
        <v>تحزية</v>
      </c>
      <c r="C67" s="38" t="str">
        <f aca="false">IF(B67="","",المخزن!C67)</f>
        <v>2000000000066</v>
      </c>
      <c r="D67" s="39" t="n">
        <f aca="false">IF($B67="","",المخزن!G67)</f>
        <v>98</v>
      </c>
      <c r="E67" s="40"/>
      <c r="F67" s="41" t="str">
        <f aca="false">IF(OR(B67="",E67=""),"",E67-D67)</f>
        <v/>
      </c>
      <c r="G67" s="42" t="str">
        <f aca="false">IF(F67="","",IF(F67&gt;0,"زيادة",IF(F67&lt;0,"عجز","مطابق")))</f>
        <v/>
      </c>
      <c r="H67" s="43" t="n">
        <f aca="false">IF(B67="","",المخزن!H67)</f>
        <v>0</v>
      </c>
      <c r="I67" s="44" t="str">
        <f aca="false">IF(F67="","",F67*H67)</f>
        <v/>
      </c>
      <c r="J67" s="22"/>
    </row>
    <row r="68" customFormat="false" ht="15" hidden="false" customHeight="true" outlineLevel="0" collapsed="false">
      <c r="A68" s="36" t="n">
        <f aca="false">IF(B68="","",ROW()-1)</f>
        <v>67</v>
      </c>
      <c r="B68" s="37" t="str">
        <f aca="false">IF(المخزن!B68="","",المخزن!B68)</f>
        <v>بنطلون جبردين GPS</v>
      </c>
      <c r="C68" s="38" t="str">
        <f aca="false">IF(B68="","",المخزن!C68)</f>
        <v>2000000000067</v>
      </c>
      <c r="D68" s="39" t="n">
        <f aca="false">IF($B68="","",المخزن!G68)</f>
        <v>20</v>
      </c>
      <c r="E68" s="40"/>
      <c r="F68" s="41" t="str">
        <f aca="false">IF(OR(B68="",E68=""),"",E68-D68)</f>
        <v/>
      </c>
      <c r="G68" s="42" t="str">
        <f aca="false">IF(F68="","",IF(F68&gt;0,"زيادة",IF(F68&lt;0,"عجز","مطابق")))</f>
        <v/>
      </c>
      <c r="H68" s="43" t="n">
        <f aca="false">IF(B68="","",المخزن!H68)</f>
        <v>320</v>
      </c>
      <c r="I68" s="44" t="str">
        <f aca="false">IF(F68="","",F68*H68)</f>
        <v/>
      </c>
      <c r="J68" s="22"/>
    </row>
    <row r="69" customFormat="false" ht="15" hidden="false" customHeight="true" outlineLevel="0" collapsed="false">
      <c r="A69" s="36" t="n">
        <f aca="false">IF(B69="","",ROW()-1)</f>
        <v>68</v>
      </c>
      <c r="B69" s="37" t="str">
        <f aca="false">IF(المخزن!B69="","",المخزن!B69)</f>
        <v>بولو فيجس</v>
      </c>
      <c r="C69" s="38" t="str">
        <f aca="false">IF(B69="","",المخزن!C69)</f>
        <v>2000000000068</v>
      </c>
      <c r="D69" s="39" t="n">
        <f aca="false">IF($B69="","",المخزن!G69)</f>
        <v>2</v>
      </c>
      <c r="E69" s="40"/>
      <c r="F69" s="41" t="str">
        <f aca="false">IF(OR(B69="",E69=""),"",E69-D69)</f>
        <v/>
      </c>
      <c r="G69" s="42" t="str">
        <f aca="false">IF(F69="","",IF(F69&gt;0,"زيادة",IF(F69&lt;0,"عجز","مطابق")))</f>
        <v/>
      </c>
      <c r="H69" s="43" t="n">
        <f aca="false">IF(B69="","",المخزن!H69)</f>
        <v>415</v>
      </c>
      <c r="I69" s="44" t="str">
        <f aca="false">IF(F69="","",F69*H69)</f>
        <v/>
      </c>
      <c r="J69" s="22"/>
    </row>
    <row r="70" customFormat="false" ht="15" hidden="false" customHeight="true" outlineLevel="0" collapsed="false">
      <c r="A70" s="36" t="n">
        <f aca="false">IF(B70="","",ROW()-1)</f>
        <v>69</v>
      </c>
      <c r="B70" s="37" t="str">
        <f aca="false">IF(المخزن!B70="","",المخزن!B70)</f>
        <v>راوند فيجس</v>
      </c>
      <c r="C70" s="38" t="str">
        <f aca="false">IF(B70="","",المخزن!C70)</f>
        <v>2000000000069</v>
      </c>
      <c r="D70" s="39" t="n">
        <f aca="false">IF($B70="","",المخزن!G70)</f>
        <v>2</v>
      </c>
      <c r="E70" s="40"/>
      <c r="F70" s="41" t="str">
        <f aca="false">IF(OR(B70="",E70=""),"",E70-D70)</f>
        <v/>
      </c>
      <c r="G70" s="42" t="str">
        <f aca="false">IF(F70="","",IF(F70&gt;0,"زيادة",IF(F70&lt;0,"عجز","مطابق")))</f>
        <v/>
      </c>
      <c r="H70" s="43" t="n">
        <f aca="false">IF(B70="","",المخزن!H70)</f>
        <v>395</v>
      </c>
      <c r="I70" s="44" t="str">
        <f aca="false">IF(F70="","",F70*H70)</f>
        <v/>
      </c>
      <c r="J70" s="22"/>
    </row>
    <row r="71" customFormat="false" ht="15" hidden="false" customHeight="true" outlineLevel="0" collapsed="false">
      <c r="A71" s="36" t="n">
        <f aca="false">IF(B71="","",ROW()-1)</f>
        <v>70</v>
      </c>
      <c r="B71" s="37" t="str">
        <f aca="false">IF(المخزن!B71="","",المخزن!B71)</f>
        <v>شروال سوفت مستورد</v>
      </c>
      <c r="C71" s="38" t="str">
        <f aca="false">IF(B71="","",المخزن!C71)</f>
        <v>2000000000070</v>
      </c>
      <c r="D71" s="39" t="n">
        <f aca="false">IF($B71="","",المخزن!G71)</f>
        <v>4</v>
      </c>
      <c r="E71" s="40"/>
      <c r="F71" s="41" t="str">
        <f aca="false">IF(OR(B71="",E71=""),"",E71-D71)</f>
        <v/>
      </c>
      <c r="G71" s="42" t="str">
        <f aca="false">IF(F71="","",IF(F71&gt;0,"زيادة",IF(F71&lt;0,"عجز","مطابق")))</f>
        <v/>
      </c>
      <c r="H71" s="43" t="n">
        <f aca="false">IF(B71="","",المخزن!H71)</f>
        <v>490</v>
      </c>
      <c r="I71" s="44" t="str">
        <f aca="false">IF(F71="","",F71*H71)</f>
        <v/>
      </c>
      <c r="J71" s="22"/>
    </row>
    <row r="72" customFormat="false" ht="15" hidden="false" customHeight="true" outlineLevel="0" collapsed="false">
      <c r="A72" s="36" t="n">
        <f aca="false">IF(B72="","",ROW()-1)</f>
        <v>71</v>
      </c>
      <c r="B72" s="37" t="str">
        <f aca="false">IF(المخزن!B72="","",المخزن!B72)</f>
        <v>قميص بوكس فيت</v>
      </c>
      <c r="C72" s="38" t="str">
        <f aca="false">IF(B72="","",المخزن!C72)</f>
        <v>2000000000071</v>
      </c>
      <c r="D72" s="39" t="n">
        <f aca="false">IF($B72="","",المخزن!G72)</f>
        <v>2</v>
      </c>
      <c r="E72" s="40"/>
      <c r="F72" s="41" t="str">
        <f aca="false">IF(OR(B72="",E72=""),"",E72-D72)</f>
        <v/>
      </c>
      <c r="G72" s="42" t="str">
        <f aca="false">IF(F72="","",IF(F72&gt;0,"زيادة",IF(F72&lt;0,"عجز","مطابق")))</f>
        <v/>
      </c>
      <c r="H72" s="43" t="n">
        <f aca="false">IF(B72="","",المخزن!H72)</f>
        <v>400</v>
      </c>
      <c r="I72" s="44" t="str">
        <f aca="false">IF(F72="","",F72*H72)</f>
        <v/>
      </c>
      <c r="J72" s="22"/>
    </row>
    <row r="73" customFormat="false" ht="15" hidden="false" customHeight="true" outlineLevel="0" collapsed="false">
      <c r="A73" s="36" t="n">
        <f aca="false">IF(B73="","",ROW()-1)</f>
        <v>72</v>
      </c>
      <c r="B73" s="37" t="str">
        <f aca="false">IF(المخزن!B73="","",المخزن!B73)</f>
        <v>تيشيرت RNB</v>
      </c>
      <c r="C73" s="38" t="str">
        <f aca="false">IF(B73="","",المخزن!C73)</f>
        <v>2000000000072</v>
      </c>
      <c r="D73" s="39" t="n">
        <f aca="false">IF($B73="","",المخزن!G73)</f>
        <v>7</v>
      </c>
      <c r="E73" s="40"/>
      <c r="F73" s="41" t="str">
        <f aca="false">IF(OR(B73="",E73=""),"",E73-D73)</f>
        <v/>
      </c>
      <c r="G73" s="42" t="str">
        <f aca="false">IF(F73="","",IF(F73&gt;0,"زيادة",IF(F73&lt;0,"عجز","مطابق")))</f>
        <v/>
      </c>
      <c r="H73" s="43" t="n">
        <f aca="false">IF(B73="","",المخزن!H73)</f>
        <v>460</v>
      </c>
      <c r="I73" s="44" t="str">
        <f aca="false">IF(F73="","",F73*H73)</f>
        <v/>
      </c>
      <c r="J73" s="22"/>
    </row>
    <row r="74" customFormat="false" ht="15" hidden="false" customHeight="true" outlineLevel="0" collapsed="false">
      <c r="A74" s="36" t="n">
        <f aca="false">IF(B74="","",ROW()-1)</f>
        <v>73</v>
      </c>
      <c r="B74" s="37" t="str">
        <f aca="false">IF(المخزن!B74="","",المخزن!B74)</f>
        <v>تيشيرت XIO اوريجينال</v>
      </c>
      <c r="C74" s="38" t="str">
        <f aca="false">IF(B74="","",المخزن!C74)</f>
        <v>2000000000073</v>
      </c>
      <c r="D74" s="39" t="n">
        <f aca="false">IF($B74="","",المخزن!G74)</f>
        <v>6</v>
      </c>
      <c r="E74" s="40"/>
      <c r="F74" s="41" t="str">
        <f aca="false">IF(OR(B74="",E74=""),"",E74-D74)</f>
        <v/>
      </c>
      <c r="G74" s="42" t="str">
        <f aca="false">IF(F74="","",IF(F74&gt;0,"زيادة",IF(F74&lt;0,"عجز","مطابق")))</f>
        <v/>
      </c>
      <c r="H74" s="43" t="n">
        <f aca="false">IF(B74="","",المخزن!H74)</f>
        <v>390</v>
      </c>
      <c r="I74" s="44" t="str">
        <f aca="false">IF(F74="","",F74*H74)</f>
        <v/>
      </c>
      <c r="J74" s="22"/>
    </row>
    <row r="75" customFormat="false" ht="15" hidden="false" customHeight="true" outlineLevel="0" collapsed="false">
      <c r="A75" s="36" t="n">
        <f aca="false">IF(B75="","",ROW()-1)</f>
        <v>74</v>
      </c>
      <c r="B75" s="37" t="str">
        <f aca="false">IF(المخزن!B75="","",المخزن!B75)</f>
        <v>تيشيرت A|X</v>
      </c>
      <c r="C75" s="38" t="str">
        <f aca="false">IF(B75="","",المخزن!C75)</f>
        <v>2000000000074</v>
      </c>
      <c r="D75" s="39" t="n">
        <f aca="false">IF($B75="","",المخزن!G75)</f>
        <v>4</v>
      </c>
      <c r="E75" s="40"/>
      <c r="F75" s="41" t="str">
        <f aca="false">IF(OR(B75="",E75=""),"",E75-D75)</f>
        <v/>
      </c>
      <c r="G75" s="42" t="str">
        <f aca="false">IF(F75="","",IF(F75&gt;0,"زيادة",IF(F75&lt;0,"عجز","مطابق")))</f>
        <v/>
      </c>
      <c r="H75" s="43" t="n">
        <f aca="false">IF(B75="","",المخزن!H75)</f>
        <v>360</v>
      </c>
      <c r="I75" s="44" t="str">
        <f aca="false">IF(F75="","",F75*H75)</f>
        <v/>
      </c>
      <c r="J75" s="22"/>
    </row>
    <row r="76" customFormat="false" ht="15" hidden="false" customHeight="true" outlineLevel="0" collapsed="false">
      <c r="A76" s="36" t="n">
        <f aca="false">IF(B76="","",ROW()-1)</f>
        <v>75</v>
      </c>
      <c r="B76" s="37" t="str">
        <f aca="false">IF(المخزن!B76="","",المخزن!B76)</f>
        <v>قميص كتان XIO</v>
      </c>
      <c r="C76" s="38" t="str">
        <f aca="false">IF(B76="","",المخزن!C76)</f>
        <v>2000000000075</v>
      </c>
      <c r="D76" s="39" t="n">
        <f aca="false">IF($B76="","",المخزن!G76)</f>
        <v>6</v>
      </c>
      <c r="E76" s="40"/>
      <c r="F76" s="41" t="str">
        <f aca="false">IF(OR(B76="",E76=""),"",E76-D76)</f>
        <v/>
      </c>
      <c r="G76" s="42" t="str">
        <f aca="false">IF(F76="","",IF(F76&gt;0,"زيادة",IF(F76&lt;0,"عجز","مطابق")))</f>
        <v/>
      </c>
      <c r="H76" s="43" t="n">
        <f aca="false">IF(B76="","",المخزن!H76)</f>
        <v>450</v>
      </c>
      <c r="I76" s="44" t="str">
        <f aca="false">IF(F76="","",F76*H76)</f>
        <v/>
      </c>
      <c r="J76" s="22"/>
    </row>
    <row r="77" customFormat="false" ht="15" hidden="false" customHeight="true" outlineLevel="0" collapsed="false">
      <c r="A77" s="36" t="n">
        <f aca="false">IF(B77="","",ROW()-1)</f>
        <v>76</v>
      </c>
      <c r="B77" s="37" t="str">
        <f aca="false">IF(المخزن!B77="","",المخزن!B77)</f>
        <v>بنطلون كتان</v>
      </c>
      <c r="C77" s="38" t="str">
        <f aca="false">IF(B77="","",المخزن!C77)</f>
        <v>2000000000076</v>
      </c>
      <c r="D77" s="39" t="n">
        <f aca="false">IF($B77="","",المخزن!G77)</f>
        <v>0</v>
      </c>
      <c r="E77" s="40"/>
      <c r="F77" s="41" t="str">
        <f aca="false">IF(OR(B77="",E77=""),"",E77-D77)</f>
        <v/>
      </c>
      <c r="G77" s="42" t="str">
        <f aca="false">IF(F77="","",IF(F77&gt;0,"زيادة",IF(F77&lt;0,"عجز","مطابق")))</f>
        <v/>
      </c>
      <c r="H77" s="43" t="n">
        <f aca="false">IF(B77="","",المخزن!H77)</f>
        <v>200</v>
      </c>
      <c r="I77" s="44" t="str">
        <f aca="false">IF(F77="","",F77*H77)</f>
        <v/>
      </c>
      <c r="J77" s="22"/>
    </row>
    <row r="78" customFormat="false" ht="15" hidden="false" customHeight="true" outlineLevel="0" collapsed="false">
      <c r="A78" s="36" t="n">
        <f aca="false">IF(B78="","",ROW()-1)</f>
        <v>77</v>
      </c>
      <c r="B78" s="37" t="str">
        <f aca="false">IF(المخزن!B78="","",المخزن!B78)</f>
        <v>قميص نص كتان</v>
      </c>
      <c r="C78" s="38" t="str">
        <f aca="false">IF(B78="","",المخزن!C78)</f>
        <v>2000000000077</v>
      </c>
      <c r="D78" s="39" t="n">
        <f aca="false">IF($B78="","",المخزن!G78)</f>
        <v>0</v>
      </c>
      <c r="E78" s="40"/>
      <c r="F78" s="41" t="str">
        <f aca="false">IF(OR(B78="",E78=""),"",E78-D78)</f>
        <v/>
      </c>
      <c r="G78" s="42" t="str">
        <f aca="false">IF(F78="","",IF(F78&gt;0,"زيادة",IF(F78&lt;0,"عجز","مطابق")))</f>
        <v/>
      </c>
      <c r="H78" s="43" t="n">
        <f aca="false">IF(B78="","",المخزن!H78)</f>
        <v>185</v>
      </c>
      <c r="I78" s="44" t="str">
        <f aca="false">IF(F78="","",F78*H78)</f>
        <v/>
      </c>
      <c r="J78" s="22"/>
    </row>
    <row r="79" customFormat="false" ht="15" hidden="false" customHeight="true" outlineLevel="0" collapsed="false">
      <c r="A79" s="36" t="n">
        <f aca="false">IF(B79="","",ROW()-1)</f>
        <v>78</v>
      </c>
      <c r="B79" s="37" t="str">
        <f aca="false">IF(المخزن!B79="","",المخزن!B79)</f>
        <v>شورت كتان</v>
      </c>
      <c r="C79" s="38" t="str">
        <f aca="false">IF(B79="","",المخزن!C79)</f>
        <v>2000000000078</v>
      </c>
      <c r="D79" s="39" t="n">
        <f aca="false">IF($B79="","",المخزن!G79)</f>
        <v>1</v>
      </c>
      <c r="E79" s="40"/>
      <c r="F79" s="41" t="str">
        <f aca="false">IF(OR(B79="",E79=""),"",E79-D79)</f>
        <v/>
      </c>
      <c r="G79" s="42" t="str">
        <f aca="false">IF(F79="","",IF(F79&gt;0,"زيادة",IF(F79&lt;0,"عجز","مطابق")))</f>
        <v/>
      </c>
      <c r="H79" s="43" t="n">
        <f aca="false">IF(B79="","",المخزن!H79)</f>
        <v>185</v>
      </c>
      <c r="I79" s="44" t="str">
        <f aca="false">IF(F79="","",F79*H79)</f>
        <v/>
      </c>
      <c r="J79" s="22"/>
    </row>
    <row r="80" customFormat="false" ht="15" hidden="false" customHeight="true" outlineLevel="0" collapsed="false">
      <c r="A80" s="36" t="str">
        <f aca="false">IF(B80="","",ROW()-1)</f>
        <v/>
      </c>
      <c r="B80" s="37" t="str">
        <f aca="false">IF(المخزن!B80="","",المخزن!B80)</f>
        <v/>
      </c>
      <c r="C80" s="38" t="str">
        <f aca="false">IF(B80="","",المخزن!C80)</f>
        <v/>
      </c>
      <c r="D80" s="39" t="str">
        <f aca="false">IF($B80="","",المخزن!G80)</f>
        <v/>
      </c>
      <c r="E80" s="40"/>
      <c r="F80" s="41" t="str">
        <f aca="false">IF(OR(B80="",E80=""),"",E80-D80)</f>
        <v/>
      </c>
      <c r="G80" s="42" t="str">
        <f aca="false">IF(F80="","",IF(F80&gt;0,"زيادة",IF(F80&lt;0,"عجز","مطابق")))</f>
        <v/>
      </c>
      <c r="H80" s="43" t="str">
        <f aca="false">IF(B80="","",المخزن!H80)</f>
        <v/>
      </c>
      <c r="I80" s="44" t="str">
        <f aca="false">IF(F80="","",F80*H80)</f>
        <v/>
      </c>
      <c r="J80" s="22"/>
    </row>
    <row r="81" customFormat="false" ht="15" hidden="false" customHeight="true" outlineLevel="0" collapsed="false">
      <c r="A81" s="36" t="str">
        <f aca="false">IF(B81="","",ROW()-1)</f>
        <v/>
      </c>
      <c r="B81" s="37" t="str">
        <f aca="false">IF(المخزن!B81="","",المخزن!B81)</f>
        <v/>
      </c>
      <c r="C81" s="38" t="str">
        <f aca="false">IF(B81="","",المخزن!C81)</f>
        <v/>
      </c>
      <c r="D81" s="39" t="str">
        <f aca="false">IF($B81="","",المخزن!G81)</f>
        <v/>
      </c>
      <c r="E81" s="40"/>
      <c r="F81" s="41" t="str">
        <f aca="false">IF(OR(B81="",E81=""),"",E81-D81)</f>
        <v/>
      </c>
      <c r="G81" s="42" t="str">
        <f aca="false">IF(F81="","",IF(F81&gt;0,"زيادة",IF(F81&lt;0,"عجز","مطابق")))</f>
        <v/>
      </c>
      <c r="H81" s="43" t="str">
        <f aca="false">IF(B81="","",المخزن!H81)</f>
        <v/>
      </c>
      <c r="I81" s="44" t="str">
        <f aca="false">IF(F81="","",F81*H81)</f>
        <v/>
      </c>
      <c r="J81" s="22"/>
    </row>
    <row r="82" customFormat="false" ht="15" hidden="false" customHeight="true" outlineLevel="0" collapsed="false">
      <c r="A82" s="36" t="str">
        <f aca="false">IF(B82="","",ROW()-1)</f>
        <v/>
      </c>
      <c r="B82" s="37" t="str">
        <f aca="false">IF(المخزن!B82="","",المخزن!B82)</f>
        <v/>
      </c>
      <c r="C82" s="38" t="str">
        <f aca="false">IF(B82="","",المخزن!C82)</f>
        <v/>
      </c>
      <c r="D82" s="39" t="str">
        <f aca="false">IF($B82="","",المخزن!G82)</f>
        <v/>
      </c>
      <c r="E82" s="40"/>
      <c r="F82" s="41" t="str">
        <f aca="false">IF(OR(B82="",E82=""),"",E82-D82)</f>
        <v/>
      </c>
      <c r="G82" s="42" t="str">
        <f aca="false">IF(F82="","",IF(F82&gt;0,"زيادة",IF(F82&lt;0,"عجز","مطابق")))</f>
        <v/>
      </c>
      <c r="H82" s="43" t="str">
        <f aca="false">IF(B82="","",المخزن!H82)</f>
        <v/>
      </c>
      <c r="I82" s="44" t="str">
        <f aca="false">IF(F82="","",F82*H82)</f>
        <v/>
      </c>
      <c r="J82" s="22"/>
    </row>
    <row r="83" customFormat="false" ht="15" hidden="false" customHeight="true" outlineLevel="0" collapsed="false">
      <c r="A83" s="36" t="str">
        <f aca="false">IF(B83="","",ROW()-1)</f>
        <v/>
      </c>
      <c r="B83" s="37" t="str">
        <f aca="false">IF(المخزن!B83="","",المخزن!B83)</f>
        <v/>
      </c>
      <c r="C83" s="38" t="str">
        <f aca="false">IF(B83="","",المخزن!C83)</f>
        <v/>
      </c>
      <c r="D83" s="39" t="str">
        <f aca="false">IF($B83="","",المخزن!G83)</f>
        <v/>
      </c>
      <c r="E83" s="40"/>
      <c r="F83" s="41" t="str">
        <f aca="false">IF(OR(B83="",E83=""),"",E83-D83)</f>
        <v/>
      </c>
      <c r="G83" s="42" t="str">
        <f aca="false">IF(F83="","",IF(F83&gt;0,"زيادة",IF(F83&lt;0,"عجز","مطابق")))</f>
        <v/>
      </c>
      <c r="H83" s="43" t="str">
        <f aca="false">IF(B83="","",المخزن!H83)</f>
        <v/>
      </c>
      <c r="I83" s="44" t="str">
        <f aca="false">IF(F83="","",F83*H83)</f>
        <v/>
      </c>
      <c r="J83" s="22"/>
    </row>
    <row r="84" customFormat="false" ht="15" hidden="false" customHeight="true" outlineLevel="0" collapsed="false">
      <c r="A84" s="36" t="str">
        <f aca="false">IF(B84="","",ROW()-1)</f>
        <v/>
      </c>
      <c r="B84" s="37" t="str">
        <f aca="false">IF(المخزن!B84="","",المخزن!B84)</f>
        <v/>
      </c>
      <c r="C84" s="38" t="str">
        <f aca="false">IF(B84="","",المخزن!C84)</f>
        <v/>
      </c>
      <c r="D84" s="39" t="str">
        <f aca="false">IF($B84="","",المخزن!G84)</f>
        <v/>
      </c>
      <c r="E84" s="40"/>
      <c r="F84" s="41" t="str">
        <f aca="false">IF(OR(B84="",E84=""),"",E84-D84)</f>
        <v/>
      </c>
      <c r="G84" s="42" t="str">
        <f aca="false">IF(F84="","",IF(F84&gt;0,"زيادة",IF(F84&lt;0,"عجز","مطابق")))</f>
        <v/>
      </c>
      <c r="H84" s="43" t="str">
        <f aca="false">IF(B84="","",المخزن!H84)</f>
        <v/>
      </c>
      <c r="I84" s="44" t="str">
        <f aca="false">IF(F84="","",F84*H84)</f>
        <v/>
      </c>
      <c r="J84" s="22"/>
    </row>
    <row r="85" customFormat="false" ht="15" hidden="false" customHeight="true" outlineLevel="0" collapsed="false">
      <c r="A85" s="36" t="str">
        <f aca="false">IF(B85="","",ROW()-1)</f>
        <v/>
      </c>
      <c r="B85" s="37" t="str">
        <f aca="false">IF(المخزن!B85="","",المخزن!B85)</f>
        <v/>
      </c>
      <c r="C85" s="38" t="str">
        <f aca="false">IF(B85="","",المخزن!C85)</f>
        <v/>
      </c>
      <c r="D85" s="39" t="str">
        <f aca="false">IF($B85="","",المخزن!G85)</f>
        <v/>
      </c>
      <c r="E85" s="40"/>
      <c r="F85" s="41" t="str">
        <f aca="false">IF(OR(B85="",E85=""),"",E85-D85)</f>
        <v/>
      </c>
      <c r="G85" s="42" t="str">
        <f aca="false">IF(F85="","",IF(F85&gt;0,"زيادة",IF(F85&lt;0,"عجز","مطابق")))</f>
        <v/>
      </c>
      <c r="H85" s="43" t="str">
        <f aca="false">IF(B85="","",المخزن!H85)</f>
        <v/>
      </c>
      <c r="I85" s="44" t="str">
        <f aca="false">IF(F85="","",F85*H85)</f>
        <v/>
      </c>
      <c r="J85" s="22"/>
    </row>
    <row r="86" customFormat="false" ht="15" hidden="false" customHeight="true" outlineLevel="0" collapsed="false">
      <c r="A86" s="36" t="str">
        <f aca="false">IF(B86="","",ROW()-1)</f>
        <v/>
      </c>
      <c r="B86" s="37" t="str">
        <f aca="false">IF(المخزن!B86="","",المخزن!B86)</f>
        <v/>
      </c>
      <c r="C86" s="38" t="str">
        <f aca="false">IF(B86="","",المخزن!C86)</f>
        <v/>
      </c>
      <c r="D86" s="39" t="str">
        <f aca="false">IF($B86="","",المخزن!G86)</f>
        <v/>
      </c>
      <c r="E86" s="40"/>
      <c r="F86" s="41" t="str">
        <f aca="false">IF(OR(B86="",E86=""),"",E86-D86)</f>
        <v/>
      </c>
      <c r="G86" s="42" t="str">
        <f aca="false">IF(F86="","",IF(F86&gt;0,"زيادة",IF(F86&lt;0,"عجز","مطابق")))</f>
        <v/>
      </c>
      <c r="H86" s="43" t="str">
        <f aca="false">IF(B86="","",المخزن!H86)</f>
        <v/>
      </c>
      <c r="I86" s="44" t="str">
        <f aca="false">IF(F86="","",F86*H86)</f>
        <v/>
      </c>
      <c r="J86" s="22"/>
    </row>
    <row r="87" customFormat="false" ht="15" hidden="false" customHeight="true" outlineLevel="0" collapsed="false">
      <c r="A87" s="36" t="str">
        <f aca="false">IF(B87="","",ROW()-1)</f>
        <v/>
      </c>
      <c r="B87" s="37" t="str">
        <f aca="false">IF(المخزن!B87="","",المخزن!B87)</f>
        <v/>
      </c>
      <c r="C87" s="38" t="str">
        <f aca="false">IF(B87="","",المخزن!C87)</f>
        <v/>
      </c>
      <c r="D87" s="39" t="str">
        <f aca="false">IF($B87="","",المخزن!G87)</f>
        <v/>
      </c>
      <c r="E87" s="40"/>
      <c r="F87" s="41" t="str">
        <f aca="false">IF(OR(B87="",E87=""),"",E87-D87)</f>
        <v/>
      </c>
      <c r="G87" s="42" t="str">
        <f aca="false">IF(F87="","",IF(F87&gt;0,"زيادة",IF(F87&lt;0,"عجز","مطابق")))</f>
        <v/>
      </c>
      <c r="H87" s="43" t="str">
        <f aca="false">IF(B87="","",المخزن!H87)</f>
        <v/>
      </c>
      <c r="I87" s="44" t="str">
        <f aca="false">IF(F87="","",F87*H87)</f>
        <v/>
      </c>
      <c r="J87" s="22"/>
    </row>
    <row r="88" customFormat="false" ht="15" hidden="false" customHeight="true" outlineLevel="0" collapsed="false">
      <c r="A88" s="36" t="str">
        <f aca="false">IF(B88="","",ROW()-1)</f>
        <v/>
      </c>
      <c r="B88" s="37" t="str">
        <f aca="false">IF(المخزن!B88="","",المخزن!B88)</f>
        <v/>
      </c>
      <c r="C88" s="38" t="str">
        <f aca="false">IF(B88="","",المخزن!C88)</f>
        <v/>
      </c>
      <c r="D88" s="39" t="str">
        <f aca="false">IF($B88="","",المخزن!G88)</f>
        <v/>
      </c>
      <c r="E88" s="40"/>
      <c r="F88" s="41" t="str">
        <f aca="false">IF(OR(B88="",E88=""),"",E88-D88)</f>
        <v/>
      </c>
      <c r="G88" s="42" t="str">
        <f aca="false">IF(F88="","",IF(F88&gt;0,"زيادة",IF(F88&lt;0,"عجز","مطابق")))</f>
        <v/>
      </c>
      <c r="H88" s="43" t="str">
        <f aca="false">IF(B88="","",المخزن!H88)</f>
        <v/>
      </c>
      <c r="I88" s="44" t="str">
        <f aca="false">IF(F88="","",F88*H88)</f>
        <v/>
      </c>
      <c r="J88" s="22"/>
    </row>
    <row r="89" customFormat="false" ht="15" hidden="false" customHeight="true" outlineLevel="0" collapsed="false">
      <c r="A89" s="36" t="str">
        <f aca="false">IF(B89="","",ROW()-1)</f>
        <v/>
      </c>
      <c r="B89" s="37" t="str">
        <f aca="false">IF(المخزن!B89="","",المخزن!B89)</f>
        <v/>
      </c>
      <c r="C89" s="38" t="str">
        <f aca="false">IF(B89="","",المخزن!C89)</f>
        <v/>
      </c>
      <c r="D89" s="39" t="str">
        <f aca="false">IF($B89="","",المخزن!G89)</f>
        <v/>
      </c>
      <c r="E89" s="40"/>
      <c r="F89" s="41" t="str">
        <f aca="false">IF(OR(B89="",E89=""),"",E89-D89)</f>
        <v/>
      </c>
      <c r="G89" s="42" t="str">
        <f aca="false">IF(F89="","",IF(F89&gt;0,"زيادة",IF(F89&lt;0,"عجز","مطابق")))</f>
        <v/>
      </c>
      <c r="H89" s="43" t="str">
        <f aca="false">IF(B89="","",المخزن!H89)</f>
        <v/>
      </c>
      <c r="I89" s="44" t="str">
        <f aca="false">IF(F89="","",F89*H89)</f>
        <v/>
      </c>
      <c r="J89" s="22"/>
    </row>
    <row r="90" customFormat="false" ht="15" hidden="false" customHeight="true" outlineLevel="0" collapsed="false">
      <c r="A90" s="36" t="str">
        <f aca="false">IF(B90="","",ROW()-1)</f>
        <v/>
      </c>
      <c r="B90" s="37" t="str">
        <f aca="false">IF(المخزن!B90="","",المخزن!B90)</f>
        <v/>
      </c>
      <c r="C90" s="38" t="str">
        <f aca="false">IF(B90="","",المخزن!C90)</f>
        <v/>
      </c>
      <c r="D90" s="39" t="str">
        <f aca="false">IF($B90="","",المخزن!G90)</f>
        <v/>
      </c>
      <c r="E90" s="40"/>
      <c r="F90" s="41" t="str">
        <f aca="false">IF(OR(B90="",E90=""),"",E90-D90)</f>
        <v/>
      </c>
      <c r="G90" s="42" t="str">
        <f aca="false">IF(F90="","",IF(F90&gt;0,"زيادة",IF(F90&lt;0,"عجز","مطابق")))</f>
        <v/>
      </c>
      <c r="H90" s="43" t="str">
        <f aca="false">IF(B90="","",المخزن!H90)</f>
        <v/>
      </c>
      <c r="I90" s="44" t="str">
        <f aca="false">IF(F90="","",F90*H90)</f>
        <v/>
      </c>
      <c r="J90" s="22"/>
    </row>
    <row r="91" customFormat="false" ht="15" hidden="false" customHeight="true" outlineLevel="0" collapsed="false">
      <c r="A91" s="36" t="str">
        <f aca="false">IF(B91="","",ROW()-1)</f>
        <v/>
      </c>
      <c r="B91" s="37" t="str">
        <f aca="false">IF(المخزن!B91="","",المخزن!B91)</f>
        <v/>
      </c>
      <c r="C91" s="38" t="str">
        <f aca="false">IF(B91="","",المخزن!C91)</f>
        <v/>
      </c>
      <c r="D91" s="39" t="str">
        <f aca="false">IF($B91="","",المخزن!G91)</f>
        <v/>
      </c>
      <c r="E91" s="40"/>
      <c r="F91" s="41" t="str">
        <f aca="false">IF(OR(B91="",E91=""),"",E91-D91)</f>
        <v/>
      </c>
      <c r="G91" s="42" t="str">
        <f aca="false">IF(F91="","",IF(F91&gt;0,"زيادة",IF(F91&lt;0,"عجز","مطابق")))</f>
        <v/>
      </c>
      <c r="H91" s="43" t="str">
        <f aca="false">IF(B91="","",المخزن!H91)</f>
        <v/>
      </c>
      <c r="I91" s="44" t="str">
        <f aca="false">IF(F91="","",F91*H91)</f>
        <v/>
      </c>
      <c r="J91" s="22"/>
    </row>
    <row r="92" customFormat="false" ht="15" hidden="false" customHeight="true" outlineLevel="0" collapsed="false">
      <c r="A92" s="36" t="str">
        <f aca="false">IF(B92="","",ROW()-1)</f>
        <v/>
      </c>
      <c r="B92" s="37" t="str">
        <f aca="false">IF(المخزن!B92="","",المخزن!B92)</f>
        <v/>
      </c>
      <c r="C92" s="38" t="str">
        <f aca="false">IF(B92="","",المخزن!C92)</f>
        <v/>
      </c>
      <c r="D92" s="39" t="str">
        <f aca="false">IF($B92="","",المخزن!G92)</f>
        <v/>
      </c>
      <c r="E92" s="40"/>
      <c r="F92" s="41" t="str">
        <f aca="false">IF(OR(B92="",E92=""),"",E92-D92)</f>
        <v/>
      </c>
      <c r="G92" s="42" t="str">
        <f aca="false">IF(F92="","",IF(F92&gt;0,"زيادة",IF(F92&lt;0,"عجز","مطابق")))</f>
        <v/>
      </c>
      <c r="H92" s="43" t="str">
        <f aca="false">IF(B92="","",المخزن!H92)</f>
        <v/>
      </c>
      <c r="I92" s="44" t="str">
        <f aca="false">IF(F92="","",F92*H92)</f>
        <v/>
      </c>
      <c r="J92" s="22"/>
    </row>
    <row r="93" customFormat="false" ht="15" hidden="false" customHeight="true" outlineLevel="0" collapsed="false">
      <c r="A93" s="36" t="str">
        <f aca="false">IF(B93="","",ROW()-1)</f>
        <v/>
      </c>
      <c r="B93" s="37" t="str">
        <f aca="false">IF(المخزن!B93="","",المخزن!B93)</f>
        <v/>
      </c>
      <c r="C93" s="38" t="str">
        <f aca="false">IF(B93="","",المخزن!C93)</f>
        <v/>
      </c>
      <c r="D93" s="39" t="str">
        <f aca="false">IF($B93="","",المخزن!G93)</f>
        <v/>
      </c>
      <c r="E93" s="40"/>
      <c r="F93" s="41" t="str">
        <f aca="false">IF(OR(B93="",E93=""),"",E93-D93)</f>
        <v/>
      </c>
      <c r="G93" s="42" t="str">
        <f aca="false">IF(F93="","",IF(F93&gt;0,"زيادة",IF(F93&lt;0,"عجز","مطابق")))</f>
        <v/>
      </c>
      <c r="H93" s="43" t="str">
        <f aca="false">IF(B93="","",المخزن!H93)</f>
        <v/>
      </c>
      <c r="I93" s="44" t="str">
        <f aca="false">IF(F93="","",F93*H93)</f>
        <v/>
      </c>
      <c r="J93" s="22"/>
    </row>
    <row r="94" customFormat="false" ht="15" hidden="false" customHeight="true" outlineLevel="0" collapsed="false">
      <c r="A94" s="36" t="str">
        <f aca="false">IF(B94="","",ROW()-1)</f>
        <v/>
      </c>
      <c r="B94" s="37" t="str">
        <f aca="false">IF(المخزن!B94="","",المخزن!B94)</f>
        <v/>
      </c>
      <c r="C94" s="38" t="str">
        <f aca="false">IF(B94="","",المخزن!C94)</f>
        <v/>
      </c>
      <c r="D94" s="39" t="str">
        <f aca="false">IF($B94="","",المخزن!G94)</f>
        <v/>
      </c>
      <c r="E94" s="40"/>
      <c r="F94" s="41" t="str">
        <f aca="false">IF(OR(B94="",E94=""),"",E94-D94)</f>
        <v/>
      </c>
      <c r="G94" s="42" t="str">
        <f aca="false">IF(F94="","",IF(F94&gt;0,"زيادة",IF(F94&lt;0,"عجز","مطابق")))</f>
        <v/>
      </c>
      <c r="H94" s="43" t="str">
        <f aca="false">IF(B94="","",المخزن!H94)</f>
        <v/>
      </c>
      <c r="I94" s="44" t="str">
        <f aca="false">IF(F94="","",F94*H94)</f>
        <v/>
      </c>
      <c r="J94" s="22"/>
    </row>
    <row r="95" customFormat="false" ht="15" hidden="false" customHeight="true" outlineLevel="0" collapsed="false">
      <c r="A95" s="36" t="str">
        <f aca="false">IF(B95="","",ROW()-1)</f>
        <v/>
      </c>
      <c r="B95" s="37" t="str">
        <f aca="false">IF(المخزن!B95="","",المخزن!B95)</f>
        <v/>
      </c>
      <c r="C95" s="38" t="str">
        <f aca="false">IF(B95="","",المخزن!C95)</f>
        <v/>
      </c>
      <c r="D95" s="39" t="str">
        <f aca="false">IF($B95="","",المخزن!G95)</f>
        <v/>
      </c>
      <c r="E95" s="40"/>
      <c r="F95" s="41" t="str">
        <f aca="false">IF(OR(B95="",E95=""),"",E95-D95)</f>
        <v/>
      </c>
      <c r="G95" s="42" t="str">
        <f aca="false">IF(F95="","",IF(F95&gt;0,"زيادة",IF(F95&lt;0,"عجز","مطابق")))</f>
        <v/>
      </c>
      <c r="H95" s="43" t="str">
        <f aca="false">IF(B95="","",المخزن!H95)</f>
        <v/>
      </c>
      <c r="I95" s="44" t="str">
        <f aca="false">IF(F95="","",F95*H95)</f>
        <v/>
      </c>
      <c r="J95" s="22"/>
    </row>
    <row r="96" customFormat="false" ht="15" hidden="false" customHeight="true" outlineLevel="0" collapsed="false">
      <c r="A96" s="36" t="str">
        <f aca="false">IF(B96="","",ROW()-1)</f>
        <v/>
      </c>
      <c r="B96" s="37" t="str">
        <f aca="false">IF(المخزن!B96="","",المخزن!B96)</f>
        <v/>
      </c>
      <c r="C96" s="38" t="str">
        <f aca="false">IF(B96="","",المخزن!C96)</f>
        <v/>
      </c>
      <c r="D96" s="39" t="str">
        <f aca="false">IF($B96="","",المخزن!G96)</f>
        <v/>
      </c>
      <c r="E96" s="40"/>
      <c r="F96" s="41" t="str">
        <f aca="false">IF(OR(B96="",E96=""),"",E96-D96)</f>
        <v/>
      </c>
      <c r="G96" s="42" t="str">
        <f aca="false">IF(F96="","",IF(F96&gt;0,"زيادة",IF(F96&lt;0,"عجز","مطابق")))</f>
        <v/>
      </c>
      <c r="H96" s="43" t="str">
        <f aca="false">IF(B96="","",المخزن!H96)</f>
        <v/>
      </c>
      <c r="I96" s="44" t="str">
        <f aca="false">IF(F96="","",F96*H96)</f>
        <v/>
      </c>
      <c r="J96" s="22"/>
    </row>
    <row r="97" customFormat="false" ht="15" hidden="false" customHeight="true" outlineLevel="0" collapsed="false">
      <c r="A97" s="36" t="str">
        <f aca="false">IF(B97="","",ROW()-1)</f>
        <v/>
      </c>
      <c r="B97" s="37" t="str">
        <f aca="false">IF(المخزن!B97="","",المخزن!B97)</f>
        <v/>
      </c>
      <c r="C97" s="38" t="str">
        <f aca="false">IF(B97="","",المخزن!C97)</f>
        <v/>
      </c>
      <c r="D97" s="39" t="str">
        <f aca="false">IF($B97="","",المخزن!G97)</f>
        <v/>
      </c>
      <c r="E97" s="40"/>
      <c r="F97" s="41" t="str">
        <f aca="false">IF(OR(B97="",E97=""),"",E97-D97)</f>
        <v/>
      </c>
      <c r="G97" s="42" t="str">
        <f aca="false">IF(F97="","",IF(F97&gt;0,"زيادة",IF(F97&lt;0,"عجز","مطابق")))</f>
        <v/>
      </c>
      <c r="H97" s="43" t="str">
        <f aca="false">IF(B97="","",المخزن!H97)</f>
        <v/>
      </c>
      <c r="I97" s="44" t="str">
        <f aca="false">IF(F97="","",F97*H97)</f>
        <v/>
      </c>
      <c r="J97" s="22"/>
    </row>
    <row r="98" customFormat="false" ht="15" hidden="false" customHeight="true" outlineLevel="0" collapsed="false">
      <c r="A98" s="36" t="str">
        <f aca="false">IF(B98="","",ROW()-1)</f>
        <v/>
      </c>
      <c r="B98" s="37" t="str">
        <f aca="false">IF(المخزن!B98="","",المخزن!B98)</f>
        <v/>
      </c>
      <c r="C98" s="38" t="str">
        <f aca="false">IF(B98="","",المخزن!C98)</f>
        <v/>
      </c>
      <c r="D98" s="39" t="str">
        <f aca="false">IF($B98="","",المخزن!G98)</f>
        <v/>
      </c>
      <c r="E98" s="40"/>
      <c r="F98" s="41" t="str">
        <f aca="false">IF(OR(B98="",E98=""),"",E98-D98)</f>
        <v/>
      </c>
      <c r="G98" s="42" t="str">
        <f aca="false">IF(F98="","",IF(F98&gt;0,"زيادة",IF(F98&lt;0,"عجز","مطابق")))</f>
        <v/>
      </c>
      <c r="H98" s="43" t="str">
        <f aca="false">IF(B98="","",المخزن!H98)</f>
        <v/>
      </c>
      <c r="I98" s="44" t="str">
        <f aca="false">IF(F98="","",F98*H98)</f>
        <v/>
      </c>
      <c r="J98" s="22"/>
    </row>
    <row r="99" customFormat="false" ht="15" hidden="false" customHeight="true" outlineLevel="0" collapsed="false">
      <c r="A99" s="36" t="str">
        <f aca="false">IF(B99="","",ROW()-1)</f>
        <v/>
      </c>
      <c r="B99" s="37" t="str">
        <f aca="false">IF(المخزن!B99="","",المخزن!B99)</f>
        <v/>
      </c>
      <c r="C99" s="38" t="str">
        <f aca="false">IF(B99="","",المخزن!C99)</f>
        <v/>
      </c>
      <c r="D99" s="39" t="str">
        <f aca="false">IF($B99="","",المخزن!G99)</f>
        <v/>
      </c>
      <c r="E99" s="40"/>
      <c r="F99" s="41" t="str">
        <f aca="false">IF(OR(B99="",E99=""),"",E99-D99)</f>
        <v/>
      </c>
      <c r="G99" s="42" t="str">
        <f aca="false">IF(F99="","",IF(F99&gt;0,"زيادة",IF(F99&lt;0,"عجز","مطابق")))</f>
        <v/>
      </c>
      <c r="H99" s="43" t="str">
        <f aca="false">IF(B99="","",المخزن!H99)</f>
        <v/>
      </c>
      <c r="I99" s="44" t="str">
        <f aca="false">IF(F99="","",F99*H99)</f>
        <v/>
      </c>
      <c r="J99" s="22"/>
    </row>
    <row r="100" customFormat="false" ht="15" hidden="false" customHeight="true" outlineLevel="0" collapsed="false">
      <c r="A100" s="36" t="str">
        <f aca="false">IF(B100="","",ROW()-1)</f>
        <v/>
      </c>
      <c r="B100" s="37" t="str">
        <f aca="false">IF(المخزن!B100="","",المخزن!B100)</f>
        <v/>
      </c>
      <c r="C100" s="38" t="str">
        <f aca="false">IF(B100="","",المخزن!C100)</f>
        <v/>
      </c>
      <c r="D100" s="39" t="str">
        <f aca="false">IF($B100="","",المخزن!G100)</f>
        <v/>
      </c>
      <c r="E100" s="40"/>
      <c r="F100" s="41" t="str">
        <f aca="false">IF(OR(B100="",E100=""),"",E100-D100)</f>
        <v/>
      </c>
      <c r="G100" s="42" t="str">
        <f aca="false">IF(F100="","",IF(F100&gt;0,"زيادة",IF(F100&lt;0,"عجز","مطابق")))</f>
        <v/>
      </c>
      <c r="H100" s="43" t="str">
        <f aca="false">IF(B100="","",المخزن!H100)</f>
        <v/>
      </c>
      <c r="I100" s="44" t="str">
        <f aca="false">IF(F100="","",F100*H100)</f>
        <v/>
      </c>
      <c r="J100" s="22"/>
    </row>
    <row r="101" customFormat="false" ht="15" hidden="false" customHeight="true" outlineLevel="0" collapsed="false">
      <c r="A101" s="36" t="str">
        <f aca="false">IF(B101="","",ROW()-1)</f>
        <v/>
      </c>
      <c r="B101" s="37" t="str">
        <f aca="false">IF(المخزن!B101="","",المخزن!B101)</f>
        <v/>
      </c>
      <c r="C101" s="38" t="str">
        <f aca="false">IF(B101="","",المخزن!C101)</f>
        <v/>
      </c>
      <c r="D101" s="39" t="str">
        <f aca="false">IF($B101="","",المخزن!G101)</f>
        <v/>
      </c>
      <c r="E101" s="40"/>
      <c r="F101" s="41" t="str">
        <f aca="false">IF(OR(B101="",E101=""),"",E101-D101)</f>
        <v/>
      </c>
      <c r="G101" s="42" t="str">
        <f aca="false">IF(F101="","",IF(F101&gt;0,"زيادة",IF(F101&lt;0,"عجز","مطابق")))</f>
        <v/>
      </c>
      <c r="H101" s="43" t="str">
        <f aca="false">IF(B101="","",المخزن!H101)</f>
        <v/>
      </c>
      <c r="I101" s="44" t="str">
        <f aca="false">IF(F101="","",F101*H101)</f>
        <v/>
      </c>
      <c r="J101" s="22"/>
    </row>
    <row r="102" customFormat="false" ht="15" hidden="false" customHeight="true" outlineLevel="0" collapsed="false">
      <c r="A102" s="36" t="str">
        <f aca="false">IF(B102="","",ROW()-1)</f>
        <v/>
      </c>
      <c r="B102" s="37" t="str">
        <f aca="false">IF(المخزن!B102="","",المخزن!B102)</f>
        <v/>
      </c>
      <c r="C102" s="38" t="str">
        <f aca="false">IF(B102="","",المخزن!C102)</f>
        <v/>
      </c>
      <c r="D102" s="39" t="str">
        <f aca="false">IF($B102="","",المخزن!G102)</f>
        <v/>
      </c>
      <c r="E102" s="40"/>
      <c r="F102" s="41" t="str">
        <f aca="false">IF(OR(B102="",E102=""),"",E102-D102)</f>
        <v/>
      </c>
      <c r="G102" s="42" t="str">
        <f aca="false">IF(F102="","",IF(F102&gt;0,"زيادة",IF(F102&lt;0,"عجز","مطابق")))</f>
        <v/>
      </c>
      <c r="H102" s="43" t="str">
        <f aca="false">IF(B102="","",المخزن!H102)</f>
        <v/>
      </c>
      <c r="I102" s="44" t="str">
        <f aca="false">IF(F102="","",F102*H102)</f>
        <v/>
      </c>
      <c r="J102" s="22"/>
    </row>
    <row r="103" customFormat="false" ht="15" hidden="false" customHeight="true" outlineLevel="0" collapsed="false">
      <c r="A103" s="36" t="str">
        <f aca="false">IF(B103="","",ROW()-1)</f>
        <v/>
      </c>
      <c r="B103" s="37" t="str">
        <f aca="false">IF(المخزن!B103="","",المخزن!B103)</f>
        <v/>
      </c>
      <c r="C103" s="38" t="str">
        <f aca="false">IF(B103="","",المخزن!C103)</f>
        <v/>
      </c>
      <c r="D103" s="39" t="str">
        <f aca="false">IF($B103="","",المخزن!G103)</f>
        <v/>
      </c>
      <c r="E103" s="40"/>
      <c r="F103" s="41" t="str">
        <f aca="false">IF(OR(B103="",E103=""),"",E103-D103)</f>
        <v/>
      </c>
      <c r="G103" s="42" t="str">
        <f aca="false">IF(F103="","",IF(F103&gt;0,"زيادة",IF(F103&lt;0,"عجز","مطابق")))</f>
        <v/>
      </c>
      <c r="H103" s="43" t="str">
        <f aca="false">IF(B103="","",المخزن!H103)</f>
        <v/>
      </c>
      <c r="I103" s="44" t="str">
        <f aca="false">IF(F103="","",F103*H103)</f>
        <v/>
      </c>
      <c r="J103" s="22"/>
    </row>
    <row r="104" customFormat="false" ht="15" hidden="false" customHeight="true" outlineLevel="0" collapsed="false">
      <c r="A104" s="36" t="str">
        <f aca="false">IF(B104="","",ROW()-1)</f>
        <v/>
      </c>
      <c r="B104" s="37" t="str">
        <f aca="false">IF(المخزن!B104="","",المخزن!B104)</f>
        <v/>
      </c>
      <c r="C104" s="38" t="str">
        <f aca="false">IF(B104="","",المخزن!C104)</f>
        <v/>
      </c>
      <c r="D104" s="39" t="str">
        <f aca="false">IF($B104="","",المخزن!G104)</f>
        <v/>
      </c>
      <c r="E104" s="40"/>
      <c r="F104" s="41" t="str">
        <f aca="false">IF(OR(B104="",E104=""),"",E104-D104)</f>
        <v/>
      </c>
      <c r="G104" s="42" t="str">
        <f aca="false">IF(F104="","",IF(F104&gt;0,"زيادة",IF(F104&lt;0,"عجز","مطابق")))</f>
        <v/>
      </c>
      <c r="H104" s="43" t="str">
        <f aca="false">IF(B104="","",المخزن!H104)</f>
        <v/>
      </c>
      <c r="I104" s="44" t="str">
        <f aca="false">IF(F104="","",F104*H104)</f>
        <v/>
      </c>
      <c r="J104" s="22"/>
    </row>
    <row r="105" customFormat="false" ht="15" hidden="false" customHeight="true" outlineLevel="0" collapsed="false">
      <c r="A105" s="36" t="str">
        <f aca="false">IF(B105="","",ROW()-1)</f>
        <v/>
      </c>
      <c r="B105" s="37" t="str">
        <f aca="false">IF(المخزن!B105="","",المخزن!B105)</f>
        <v/>
      </c>
      <c r="C105" s="38" t="str">
        <f aca="false">IF(B105="","",المخزن!C105)</f>
        <v/>
      </c>
      <c r="D105" s="39" t="str">
        <f aca="false">IF($B105="","",المخزن!G105)</f>
        <v/>
      </c>
      <c r="E105" s="40"/>
      <c r="F105" s="41" t="str">
        <f aca="false">IF(OR(B105="",E105=""),"",E105-D105)</f>
        <v/>
      </c>
      <c r="G105" s="42" t="str">
        <f aca="false">IF(F105="","",IF(F105&gt;0,"زيادة",IF(F105&lt;0,"عجز","مطابق")))</f>
        <v/>
      </c>
      <c r="H105" s="43" t="str">
        <f aca="false">IF(B105="","",المخزن!H105)</f>
        <v/>
      </c>
      <c r="I105" s="44" t="str">
        <f aca="false">IF(F105="","",F105*H105)</f>
        <v/>
      </c>
      <c r="J105" s="22"/>
    </row>
    <row r="106" customFormat="false" ht="15" hidden="false" customHeight="true" outlineLevel="0" collapsed="false">
      <c r="A106" s="36" t="str">
        <f aca="false">IF(B106="","",ROW()-1)</f>
        <v/>
      </c>
      <c r="B106" s="37" t="str">
        <f aca="false">IF(المخزن!B106="","",المخزن!B106)</f>
        <v/>
      </c>
      <c r="C106" s="38" t="str">
        <f aca="false">IF(B106="","",المخزن!C106)</f>
        <v/>
      </c>
      <c r="D106" s="39" t="str">
        <f aca="false">IF($B106="","",المخزن!G106)</f>
        <v/>
      </c>
      <c r="E106" s="40"/>
      <c r="F106" s="41" t="str">
        <f aca="false">IF(OR(B106="",E106=""),"",E106-D106)</f>
        <v/>
      </c>
      <c r="G106" s="42" t="str">
        <f aca="false">IF(F106="","",IF(F106&gt;0,"زيادة",IF(F106&lt;0,"عجز","مطابق")))</f>
        <v/>
      </c>
      <c r="H106" s="43" t="str">
        <f aca="false">IF(B106="","",المخزن!H106)</f>
        <v/>
      </c>
      <c r="I106" s="44" t="str">
        <f aca="false">IF(F106="","",F106*H106)</f>
        <v/>
      </c>
      <c r="J106" s="22"/>
    </row>
    <row r="107" customFormat="false" ht="15" hidden="false" customHeight="true" outlineLevel="0" collapsed="false">
      <c r="A107" s="36" t="str">
        <f aca="false">IF(B107="","",ROW()-1)</f>
        <v/>
      </c>
      <c r="B107" s="37" t="str">
        <f aca="false">IF(المخزن!B107="","",المخزن!B107)</f>
        <v/>
      </c>
      <c r="C107" s="38" t="str">
        <f aca="false">IF(B107="","",المخزن!C107)</f>
        <v/>
      </c>
      <c r="D107" s="39" t="str">
        <f aca="false">IF($B107="","",المخزن!G107)</f>
        <v/>
      </c>
      <c r="E107" s="40"/>
      <c r="F107" s="41" t="str">
        <f aca="false">IF(OR(B107="",E107=""),"",E107-D107)</f>
        <v/>
      </c>
      <c r="G107" s="42" t="str">
        <f aca="false">IF(F107="","",IF(F107&gt;0,"زيادة",IF(F107&lt;0,"عجز","مطابق")))</f>
        <v/>
      </c>
      <c r="H107" s="43" t="str">
        <f aca="false">IF(B107="","",المخزن!H107)</f>
        <v/>
      </c>
      <c r="I107" s="44" t="str">
        <f aca="false">IF(F107="","",F107*H107)</f>
        <v/>
      </c>
      <c r="J107" s="22"/>
    </row>
    <row r="108" customFormat="false" ht="15" hidden="false" customHeight="true" outlineLevel="0" collapsed="false">
      <c r="A108" s="36" t="str">
        <f aca="false">IF(B108="","",ROW()-1)</f>
        <v/>
      </c>
      <c r="B108" s="37" t="str">
        <f aca="false">IF(المخزن!B108="","",المخزن!B108)</f>
        <v/>
      </c>
      <c r="C108" s="38" t="str">
        <f aca="false">IF(B108="","",المخزن!C108)</f>
        <v/>
      </c>
      <c r="D108" s="39" t="str">
        <f aca="false">IF($B108="","",المخزن!G108)</f>
        <v/>
      </c>
      <c r="E108" s="40"/>
      <c r="F108" s="41" t="str">
        <f aca="false">IF(OR(B108="",E108=""),"",E108-D108)</f>
        <v/>
      </c>
      <c r="G108" s="42" t="str">
        <f aca="false">IF(F108="","",IF(F108&gt;0,"زيادة",IF(F108&lt;0,"عجز","مطابق")))</f>
        <v/>
      </c>
      <c r="H108" s="43" t="str">
        <f aca="false">IF(B108="","",المخزن!H108)</f>
        <v/>
      </c>
      <c r="I108" s="44" t="str">
        <f aca="false">IF(F108="","",F108*H108)</f>
        <v/>
      </c>
      <c r="J108" s="22"/>
    </row>
    <row r="109" customFormat="false" ht="15" hidden="false" customHeight="true" outlineLevel="0" collapsed="false">
      <c r="A109" s="36" t="str">
        <f aca="false">IF(B109="","",ROW()-1)</f>
        <v/>
      </c>
      <c r="B109" s="37" t="str">
        <f aca="false">IF(المخزن!B109="","",المخزن!B109)</f>
        <v/>
      </c>
      <c r="C109" s="38" t="str">
        <f aca="false">IF(B109="","",المخزن!C109)</f>
        <v/>
      </c>
      <c r="D109" s="39" t="str">
        <f aca="false">IF($B109="","",المخزن!G109)</f>
        <v/>
      </c>
      <c r="E109" s="40"/>
      <c r="F109" s="41" t="str">
        <f aca="false">IF(OR(B109="",E109=""),"",E109-D109)</f>
        <v/>
      </c>
      <c r="G109" s="42" t="str">
        <f aca="false">IF(F109="","",IF(F109&gt;0,"زيادة",IF(F109&lt;0,"عجز","مطابق")))</f>
        <v/>
      </c>
      <c r="H109" s="43" t="str">
        <f aca="false">IF(B109="","",المخزن!H109)</f>
        <v/>
      </c>
      <c r="I109" s="44" t="str">
        <f aca="false">IF(F109="","",F109*H109)</f>
        <v/>
      </c>
      <c r="J109" s="22"/>
    </row>
    <row r="110" customFormat="false" ht="15" hidden="false" customHeight="true" outlineLevel="0" collapsed="false">
      <c r="A110" s="36" t="str">
        <f aca="false">IF(B110="","",ROW()-1)</f>
        <v/>
      </c>
      <c r="B110" s="37" t="str">
        <f aca="false">IF(المخزن!B110="","",المخزن!B110)</f>
        <v/>
      </c>
      <c r="C110" s="38" t="str">
        <f aca="false">IF(B110="","",المخزن!C110)</f>
        <v/>
      </c>
      <c r="D110" s="39" t="str">
        <f aca="false">IF($B110="","",المخزن!G110)</f>
        <v/>
      </c>
      <c r="E110" s="40"/>
      <c r="F110" s="41" t="str">
        <f aca="false">IF(OR(B110="",E110=""),"",E110-D110)</f>
        <v/>
      </c>
      <c r="G110" s="42" t="str">
        <f aca="false">IF(F110="","",IF(F110&gt;0,"زيادة",IF(F110&lt;0,"عجز","مطابق")))</f>
        <v/>
      </c>
      <c r="H110" s="43" t="str">
        <f aca="false">IF(B110="","",المخزن!H110)</f>
        <v/>
      </c>
      <c r="I110" s="44" t="str">
        <f aca="false">IF(F110="","",F110*H110)</f>
        <v/>
      </c>
      <c r="J110" s="22"/>
    </row>
    <row r="111" customFormat="false" ht="15" hidden="false" customHeight="true" outlineLevel="0" collapsed="false">
      <c r="A111" s="36" t="str">
        <f aca="false">IF(B111="","",ROW()-1)</f>
        <v/>
      </c>
      <c r="B111" s="37" t="str">
        <f aca="false">IF(المخزن!B111="","",المخزن!B111)</f>
        <v/>
      </c>
      <c r="C111" s="38" t="str">
        <f aca="false">IF(B111="","",المخزن!C111)</f>
        <v/>
      </c>
      <c r="D111" s="39" t="str">
        <f aca="false">IF($B111="","",المخزن!G111)</f>
        <v/>
      </c>
      <c r="E111" s="40"/>
      <c r="F111" s="41" t="str">
        <f aca="false">IF(OR(B111="",E111=""),"",E111-D111)</f>
        <v/>
      </c>
      <c r="G111" s="42" t="str">
        <f aca="false">IF(F111="","",IF(F111&gt;0,"زيادة",IF(F111&lt;0,"عجز","مطابق")))</f>
        <v/>
      </c>
      <c r="H111" s="43" t="str">
        <f aca="false">IF(B111="","",المخزن!H111)</f>
        <v/>
      </c>
      <c r="I111" s="44" t="str">
        <f aca="false">IF(F111="","",F111*H111)</f>
        <v/>
      </c>
      <c r="J111" s="22"/>
    </row>
    <row r="112" customFormat="false" ht="15" hidden="false" customHeight="true" outlineLevel="0" collapsed="false">
      <c r="A112" s="36" t="str">
        <f aca="false">IF(B112="","",ROW()-1)</f>
        <v/>
      </c>
      <c r="B112" s="37" t="str">
        <f aca="false">IF(المخزن!B112="","",المخزن!B112)</f>
        <v/>
      </c>
      <c r="C112" s="38" t="str">
        <f aca="false">IF(B112="","",المخزن!C112)</f>
        <v/>
      </c>
      <c r="D112" s="39" t="str">
        <f aca="false">IF($B112="","",المخزن!G112)</f>
        <v/>
      </c>
      <c r="E112" s="40"/>
      <c r="F112" s="41" t="str">
        <f aca="false">IF(OR(B112="",E112=""),"",E112-D112)</f>
        <v/>
      </c>
      <c r="G112" s="42" t="str">
        <f aca="false">IF(F112="","",IF(F112&gt;0,"زيادة",IF(F112&lt;0,"عجز","مطابق")))</f>
        <v/>
      </c>
      <c r="H112" s="43" t="str">
        <f aca="false">IF(B112="","",المخزن!H112)</f>
        <v/>
      </c>
      <c r="I112" s="44" t="str">
        <f aca="false">IF(F112="","",F112*H112)</f>
        <v/>
      </c>
      <c r="J112" s="22"/>
    </row>
    <row r="113" customFormat="false" ht="15" hidden="false" customHeight="true" outlineLevel="0" collapsed="false">
      <c r="A113" s="36" t="str">
        <f aca="false">IF(B113="","",ROW()-1)</f>
        <v/>
      </c>
      <c r="B113" s="37" t="str">
        <f aca="false">IF(المخزن!B113="","",المخزن!B113)</f>
        <v/>
      </c>
      <c r="C113" s="38" t="str">
        <f aca="false">IF(B113="","",المخزن!C113)</f>
        <v/>
      </c>
      <c r="D113" s="39" t="str">
        <f aca="false">IF($B113="","",المخزن!G113)</f>
        <v/>
      </c>
      <c r="E113" s="40"/>
      <c r="F113" s="41" t="str">
        <f aca="false">IF(OR(B113="",E113=""),"",E113-D113)</f>
        <v/>
      </c>
      <c r="G113" s="42" t="str">
        <f aca="false">IF(F113="","",IF(F113&gt;0,"زيادة",IF(F113&lt;0,"عجز","مطابق")))</f>
        <v/>
      </c>
      <c r="H113" s="43" t="str">
        <f aca="false">IF(B113="","",المخزن!H113)</f>
        <v/>
      </c>
      <c r="I113" s="44" t="str">
        <f aca="false">IF(F113="","",F113*H113)</f>
        <v/>
      </c>
      <c r="J113" s="22"/>
    </row>
    <row r="114" customFormat="false" ht="15" hidden="false" customHeight="true" outlineLevel="0" collapsed="false">
      <c r="A114" s="36" t="str">
        <f aca="false">IF(B114="","",ROW()-1)</f>
        <v/>
      </c>
      <c r="B114" s="37" t="str">
        <f aca="false">IF(المخزن!B114="","",المخزن!B114)</f>
        <v/>
      </c>
      <c r="C114" s="38" t="str">
        <f aca="false">IF(B114="","",المخزن!C114)</f>
        <v/>
      </c>
      <c r="D114" s="39" t="str">
        <f aca="false">IF($B114="","",المخزن!G114)</f>
        <v/>
      </c>
      <c r="E114" s="40"/>
      <c r="F114" s="41" t="str">
        <f aca="false">IF(OR(B114="",E114=""),"",E114-D114)</f>
        <v/>
      </c>
      <c r="G114" s="42" t="str">
        <f aca="false">IF(F114="","",IF(F114&gt;0,"زيادة",IF(F114&lt;0,"عجز","مطابق")))</f>
        <v/>
      </c>
      <c r="H114" s="43" t="str">
        <f aca="false">IF(B114="","",المخزن!H114)</f>
        <v/>
      </c>
      <c r="I114" s="44" t="str">
        <f aca="false">IF(F114="","",F114*H114)</f>
        <v/>
      </c>
      <c r="J114" s="22"/>
    </row>
    <row r="115" customFormat="false" ht="15" hidden="false" customHeight="true" outlineLevel="0" collapsed="false">
      <c r="A115" s="36" t="str">
        <f aca="false">IF(B115="","",ROW()-1)</f>
        <v/>
      </c>
      <c r="B115" s="37" t="str">
        <f aca="false">IF(المخزن!B115="","",المخزن!B115)</f>
        <v/>
      </c>
      <c r="C115" s="38" t="str">
        <f aca="false">IF(B115="","",المخزن!C115)</f>
        <v/>
      </c>
      <c r="D115" s="39" t="str">
        <f aca="false">IF($B115="","",المخزن!G115)</f>
        <v/>
      </c>
      <c r="E115" s="40"/>
      <c r="F115" s="41" t="str">
        <f aca="false">IF(OR(B115="",E115=""),"",E115-D115)</f>
        <v/>
      </c>
      <c r="G115" s="42" t="str">
        <f aca="false">IF(F115="","",IF(F115&gt;0,"زيادة",IF(F115&lt;0,"عجز","مطابق")))</f>
        <v/>
      </c>
      <c r="H115" s="43" t="str">
        <f aca="false">IF(B115="","",المخزن!H115)</f>
        <v/>
      </c>
      <c r="I115" s="44" t="str">
        <f aca="false">IF(F115="","",F115*H115)</f>
        <v/>
      </c>
      <c r="J115" s="22"/>
    </row>
    <row r="116" customFormat="false" ht="15" hidden="false" customHeight="true" outlineLevel="0" collapsed="false">
      <c r="A116" s="36" t="str">
        <f aca="false">IF(B116="","",ROW()-1)</f>
        <v/>
      </c>
      <c r="B116" s="37" t="str">
        <f aca="false">IF(المخزن!B116="","",المخزن!B116)</f>
        <v/>
      </c>
      <c r="C116" s="38" t="str">
        <f aca="false">IF(B116="","",المخزن!C116)</f>
        <v/>
      </c>
      <c r="D116" s="39" t="str">
        <f aca="false">IF($B116="","",المخزن!G116)</f>
        <v/>
      </c>
      <c r="E116" s="40"/>
      <c r="F116" s="41" t="str">
        <f aca="false">IF(OR(B116="",E116=""),"",E116-D116)</f>
        <v/>
      </c>
      <c r="G116" s="42" t="str">
        <f aca="false">IF(F116="","",IF(F116&gt;0,"زيادة",IF(F116&lt;0,"عجز","مطابق")))</f>
        <v/>
      </c>
      <c r="H116" s="43" t="str">
        <f aca="false">IF(B116="","",المخزن!H116)</f>
        <v/>
      </c>
      <c r="I116" s="44" t="str">
        <f aca="false">IF(F116="","",F116*H116)</f>
        <v/>
      </c>
      <c r="J116" s="22"/>
    </row>
    <row r="117" customFormat="false" ht="15" hidden="false" customHeight="true" outlineLevel="0" collapsed="false">
      <c r="A117" s="36" t="str">
        <f aca="false">IF(B117="","",ROW()-1)</f>
        <v/>
      </c>
      <c r="B117" s="37" t="str">
        <f aca="false">IF(المخزن!B117="","",المخزن!B117)</f>
        <v/>
      </c>
      <c r="C117" s="38" t="str">
        <f aca="false">IF(B117="","",المخزن!C117)</f>
        <v/>
      </c>
      <c r="D117" s="39" t="str">
        <f aca="false">IF($B117="","",المخزن!G117)</f>
        <v/>
      </c>
      <c r="E117" s="40"/>
      <c r="F117" s="41" t="str">
        <f aca="false">IF(OR(B117="",E117=""),"",E117-D117)</f>
        <v/>
      </c>
      <c r="G117" s="42" t="str">
        <f aca="false">IF(F117="","",IF(F117&gt;0,"زيادة",IF(F117&lt;0,"عجز","مطابق")))</f>
        <v/>
      </c>
      <c r="H117" s="43" t="str">
        <f aca="false">IF(B117="","",المخزن!H117)</f>
        <v/>
      </c>
      <c r="I117" s="44" t="str">
        <f aca="false">IF(F117="","",F117*H117)</f>
        <v/>
      </c>
      <c r="J117" s="22"/>
    </row>
    <row r="118" customFormat="false" ht="15" hidden="false" customHeight="true" outlineLevel="0" collapsed="false">
      <c r="A118" s="36" t="str">
        <f aca="false">IF(B118="","",ROW()-1)</f>
        <v/>
      </c>
      <c r="B118" s="37" t="str">
        <f aca="false">IF(المخزن!B118="","",المخزن!B118)</f>
        <v/>
      </c>
      <c r="C118" s="38" t="str">
        <f aca="false">IF(B118="","",المخزن!C118)</f>
        <v/>
      </c>
      <c r="D118" s="39" t="str">
        <f aca="false">IF($B118="","",المخزن!G118)</f>
        <v/>
      </c>
      <c r="E118" s="40"/>
      <c r="F118" s="41" t="str">
        <f aca="false">IF(OR(B118="",E118=""),"",E118-D118)</f>
        <v/>
      </c>
      <c r="G118" s="42" t="str">
        <f aca="false">IF(F118="","",IF(F118&gt;0,"زيادة",IF(F118&lt;0,"عجز","مطابق")))</f>
        <v/>
      </c>
      <c r="H118" s="43" t="str">
        <f aca="false">IF(B118="","",المخزن!H118)</f>
        <v/>
      </c>
      <c r="I118" s="44" t="str">
        <f aca="false">IF(F118="","",F118*H118)</f>
        <v/>
      </c>
      <c r="J118" s="22"/>
    </row>
    <row r="119" customFormat="false" ht="15" hidden="false" customHeight="true" outlineLevel="0" collapsed="false">
      <c r="A119" s="36" t="str">
        <f aca="false">IF(B119="","",ROW()-1)</f>
        <v/>
      </c>
      <c r="B119" s="37" t="str">
        <f aca="false">IF(المخزن!B119="","",المخزن!B119)</f>
        <v/>
      </c>
      <c r="C119" s="38" t="str">
        <f aca="false">IF(B119="","",المخزن!C119)</f>
        <v/>
      </c>
      <c r="D119" s="39" t="str">
        <f aca="false">IF($B119="","",المخزن!G119)</f>
        <v/>
      </c>
      <c r="E119" s="40"/>
      <c r="F119" s="41" t="str">
        <f aca="false">IF(OR(B119="",E119=""),"",E119-D119)</f>
        <v/>
      </c>
      <c r="G119" s="42" t="str">
        <f aca="false">IF(F119="","",IF(F119&gt;0,"زيادة",IF(F119&lt;0,"عجز","مطابق")))</f>
        <v/>
      </c>
      <c r="H119" s="43" t="str">
        <f aca="false">IF(B119="","",المخزن!H119)</f>
        <v/>
      </c>
      <c r="I119" s="44" t="str">
        <f aca="false">IF(F119="","",F119*H119)</f>
        <v/>
      </c>
      <c r="J119" s="22"/>
    </row>
    <row r="120" customFormat="false" ht="15" hidden="false" customHeight="true" outlineLevel="0" collapsed="false">
      <c r="A120" s="36" t="str">
        <f aca="false">IF(B120="","",ROW()-1)</f>
        <v/>
      </c>
      <c r="B120" s="37" t="str">
        <f aca="false">IF(المخزن!B120="","",المخزن!B120)</f>
        <v/>
      </c>
      <c r="C120" s="38" t="str">
        <f aca="false">IF(B120="","",المخزن!C120)</f>
        <v/>
      </c>
      <c r="D120" s="39" t="str">
        <f aca="false">IF($B120="","",المخزن!G120)</f>
        <v/>
      </c>
      <c r="E120" s="40"/>
      <c r="F120" s="41" t="str">
        <f aca="false">IF(OR(B120="",E120=""),"",E120-D120)</f>
        <v/>
      </c>
      <c r="G120" s="42" t="str">
        <f aca="false">IF(F120="","",IF(F120&gt;0,"زيادة",IF(F120&lt;0,"عجز","مطابق")))</f>
        <v/>
      </c>
      <c r="H120" s="43" t="str">
        <f aca="false">IF(B120="","",المخزن!H120)</f>
        <v/>
      </c>
      <c r="I120" s="44" t="str">
        <f aca="false">IF(F120="","",F120*H120)</f>
        <v/>
      </c>
      <c r="J120" s="22"/>
    </row>
    <row r="121" customFormat="false" ht="15" hidden="false" customHeight="true" outlineLevel="0" collapsed="false">
      <c r="A121" s="36" t="str">
        <f aca="false">IF(B121="","",ROW()-1)</f>
        <v/>
      </c>
      <c r="B121" s="37" t="str">
        <f aca="false">IF(المخزن!B121="","",المخزن!B121)</f>
        <v/>
      </c>
      <c r="C121" s="38" t="str">
        <f aca="false">IF(B121="","",المخزن!C121)</f>
        <v/>
      </c>
      <c r="D121" s="39" t="str">
        <f aca="false">IF($B121="","",المخزن!G121)</f>
        <v/>
      </c>
      <c r="E121" s="40"/>
      <c r="F121" s="41" t="str">
        <f aca="false">IF(OR(B121="",E121=""),"",E121-D121)</f>
        <v/>
      </c>
      <c r="G121" s="42" t="str">
        <f aca="false">IF(F121="","",IF(F121&gt;0,"زيادة",IF(F121&lt;0,"عجز","مطابق")))</f>
        <v/>
      </c>
      <c r="H121" s="43" t="str">
        <f aca="false">IF(B121="","",المخزن!H121)</f>
        <v/>
      </c>
      <c r="I121" s="44" t="str">
        <f aca="false">IF(F121="","",F121*H121)</f>
        <v/>
      </c>
      <c r="J121" s="22"/>
    </row>
    <row r="122" customFormat="false" ht="15" hidden="false" customHeight="true" outlineLevel="0" collapsed="false">
      <c r="A122" s="36" t="str">
        <f aca="false">IF(B122="","",ROW()-1)</f>
        <v/>
      </c>
      <c r="B122" s="37" t="str">
        <f aca="false">IF(المخزن!B122="","",المخزن!B122)</f>
        <v/>
      </c>
      <c r="C122" s="38" t="str">
        <f aca="false">IF(B122="","",المخزن!C122)</f>
        <v/>
      </c>
      <c r="D122" s="39" t="str">
        <f aca="false">IF($B122="","",المخزن!G122)</f>
        <v/>
      </c>
      <c r="E122" s="40"/>
      <c r="F122" s="41" t="str">
        <f aca="false">IF(OR(B122="",E122=""),"",E122-D122)</f>
        <v/>
      </c>
      <c r="G122" s="42" t="str">
        <f aca="false">IF(F122="","",IF(F122&gt;0,"زيادة",IF(F122&lt;0,"عجز","مطابق")))</f>
        <v/>
      </c>
      <c r="H122" s="43" t="str">
        <f aca="false">IF(B122="","",المخزن!H122)</f>
        <v/>
      </c>
      <c r="I122" s="44" t="str">
        <f aca="false">IF(F122="","",F122*H122)</f>
        <v/>
      </c>
      <c r="J122" s="22"/>
    </row>
    <row r="123" customFormat="false" ht="15" hidden="false" customHeight="true" outlineLevel="0" collapsed="false">
      <c r="A123" s="36" t="str">
        <f aca="false">IF(B123="","",ROW()-1)</f>
        <v/>
      </c>
      <c r="B123" s="37" t="str">
        <f aca="false">IF(المخزن!B123="","",المخزن!B123)</f>
        <v/>
      </c>
      <c r="C123" s="38" t="str">
        <f aca="false">IF(B123="","",المخزن!C123)</f>
        <v/>
      </c>
      <c r="D123" s="39" t="str">
        <f aca="false">IF($B123="","",المخزن!G123)</f>
        <v/>
      </c>
      <c r="E123" s="40"/>
      <c r="F123" s="41" t="str">
        <f aca="false">IF(OR(B123="",E123=""),"",E123-D123)</f>
        <v/>
      </c>
      <c r="G123" s="42" t="str">
        <f aca="false">IF(F123="","",IF(F123&gt;0,"زيادة",IF(F123&lt;0,"عجز","مطابق")))</f>
        <v/>
      </c>
      <c r="H123" s="43" t="str">
        <f aca="false">IF(B123="","",المخزن!H123)</f>
        <v/>
      </c>
      <c r="I123" s="44" t="str">
        <f aca="false">IF(F123="","",F123*H123)</f>
        <v/>
      </c>
      <c r="J123" s="22"/>
    </row>
    <row r="124" customFormat="false" ht="15" hidden="false" customHeight="true" outlineLevel="0" collapsed="false">
      <c r="A124" s="36" t="str">
        <f aca="false">IF(B124="","",ROW()-1)</f>
        <v/>
      </c>
      <c r="B124" s="37" t="str">
        <f aca="false">IF(المخزن!B124="","",المخزن!B124)</f>
        <v/>
      </c>
      <c r="C124" s="38" t="str">
        <f aca="false">IF(B124="","",المخزن!C124)</f>
        <v/>
      </c>
      <c r="D124" s="39" t="str">
        <f aca="false">IF($B124="","",المخزن!G124)</f>
        <v/>
      </c>
      <c r="E124" s="40"/>
      <c r="F124" s="41" t="str">
        <f aca="false">IF(OR(B124="",E124=""),"",E124-D124)</f>
        <v/>
      </c>
      <c r="G124" s="42" t="str">
        <f aca="false">IF(F124="","",IF(F124&gt;0,"زيادة",IF(F124&lt;0,"عجز","مطابق")))</f>
        <v/>
      </c>
      <c r="H124" s="43" t="str">
        <f aca="false">IF(B124="","",المخزن!H124)</f>
        <v/>
      </c>
      <c r="I124" s="44" t="str">
        <f aca="false">IF(F124="","",F124*H124)</f>
        <v/>
      </c>
      <c r="J124" s="22"/>
    </row>
    <row r="125" customFormat="false" ht="15" hidden="false" customHeight="true" outlineLevel="0" collapsed="false">
      <c r="A125" s="36" t="str">
        <f aca="false">IF(B125="","",ROW()-1)</f>
        <v/>
      </c>
      <c r="B125" s="37" t="str">
        <f aca="false">IF(المخزن!B125="","",المخزن!B125)</f>
        <v/>
      </c>
      <c r="C125" s="38" t="str">
        <f aca="false">IF(B125="","",المخزن!C125)</f>
        <v/>
      </c>
      <c r="D125" s="39" t="str">
        <f aca="false">IF($B125="","",المخزن!G125)</f>
        <v/>
      </c>
      <c r="E125" s="40"/>
      <c r="F125" s="41" t="str">
        <f aca="false">IF(OR(B125="",E125=""),"",E125-D125)</f>
        <v/>
      </c>
      <c r="G125" s="42" t="str">
        <f aca="false">IF(F125="","",IF(F125&gt;0,"زيادة",IF(F125&lt;0,"عجز","مطابق")))</f>
        <v/>
      </c>
      <c r="H125" s="43" t="str">
        <f aca="false">IF(B125="","",المخزن!H125)</f>
        <v/>
      </c>
      <c r="I125" s="44" t="str">
        <f aca="false">IF(F125="","",F125*H125)</f>
        <v/>
      </c>
      <c r="J125" s="22"/>
    </row>
    <row r="126" customFormat="false" ht="15" hidden="false" customHeight="true" outlineLevel="0" collapsed="false">
      <c r="A126" s="36" t="str">
        <f aca="false">IF(B126="","",ROW()-1)</f>
        <v/>
      </c>
      <c r="B126" s="37" t="str">
        <f aca="false">IF(المخزن!B126="","",المخزن!B126)</f>
        <v/>
      </c>
      <c r="C126" s="38" t="str">
        <f aca="false">IF(B126="","",المخزن!C126)</f>
        <v/>
      </c>
      <c r="D126" s="39" t="str">
        <f aca="false">IF($B126="","",المخزن!G126)</f>
        <v/>
      </c>
      <c r="E126" s="40"/>
      <c r="F126" s="41" t="str">
        <f aca="false">IF(OR(B126="",E126=""),"",E126-D126)</f>
        <v/>
      </c>
      <c r="G126" s="42" t="str">
        <f aca="false">IF(F126="","",IF(F126&gt;0,"زيادة",IF(F126&lt;0,"عجز","مطابق")))</f>
        <v/>
      </c>
      <c r="H126" s="43" t="str">
        <f aca="false">IF(B126="","",المخزن!H126)</f>
        <v/>
      </c>
      <c r="I126" s="44" t="str">
        <f aca="false">IF(F126="","",F126*H126)</f>
        <v/>
      </c>
      <c r="J126" s="22"/>
    </row>
    <row r="127" customFormat="false" ht="15" hidden="false" customHeight="true" outlineLevel="0" collapsed="false">
      <c r="A127" s="36" t="str">
        <f aca="false">IF(B127="","",ROW()-1)</f>
        <v/>
      </c>
      <c r="B127" s="37" t="str">
        <f aca="false">IF(المخزن!B127="","",المخزن!B127)</f>
        <v/>
      </c>
      <c r="C127" s="38" t="str">
        <f aca="false">IF(B127="","",المخزن!C127)</f>
        <v/>
      </c>
      <c r="D127" s="39" t="str">
        <f aca="false">IF($B127="","",المخزن!G127)</f>
        <v/>
      </c>
      <c r="E127" s="40"/>
      <c r="F127" s="41" t="str">
        <f aca="false">IF(OR(B127="",E127=""),"",E127-D127)</f>
        <v/>
      </c>
      <c r="G127" s="42" t="str">
        <f aca="false">IF(F127="","",IF(F127&gt;0,"زيادة",IF(F127&lt;0,"عجز","مطابق")))</f>
        <v/>
      </c>
      <c r="H127" s="43" t="str">
        <f aca="false">IF(B127="","",المخزن!H127)</f>
        <v/>
      </c>
      <c r="I127" s="44" t="str">
        <f aca="false">IF(F127="","",F127*H127)</f>
        <v/>
      </c>
      <c r="J127" s="22"/>
    </row>
    <row r="128" customFormat="false" ht="15" hidden="false" customHeight="true" outlineLevel="0" collapsed="false">
      <c r="A128" s="36" t="str">
        <f aca="false">IF(B128="","",ROW()-1)</f>
        <v/>
      </c>
      <c r="B128" s="37" t="str">
        <f aca="false">IF(المخزن!B128="","",المخزن!B128)</f>
        <v/>
      </c>
      <c r="C128" s="38" t="str">
        <f aca="false">IF(B128="","",المخزن!C128)</f>
        <v/>
      </c>
      <c r="D128" s="39" t="str">
        <f aca="false">IF($B128="","",المخزن!G128)</f>
        <v/>
      </c>
      <c r="E128" s="40"/>
      <c r="F128" s="41" t="str">
        <f aca="false">IF(OR(B128="",E128=""),"",E128-D128)</f>
        <v/>
      </c>
      <c r="G128" s="42" t="str">
        <f aca="false">IF(F128="","",IF(F128&gt;0,"زيادة",IF(F128&lt;0,"عجز","مطابق")))</f>
        <v/>
      </c>
      <c r="H128" s="43" t="str">
        <f aca="false">IF(B128="","",المخزن!H128)</f>
        <v/>
      </c>
      <c r="I128" s="44" t="str">
        <f aca="false">IF(F128="","",F128*H128)</f>
        <v/>
      </c>
      <c r="J128" s="22"/>
    </row>
    <row r="129" customFormat="false" ht="15" hidden="false" customHeight="true" outlineLevel="0" collapsed="false">
      <c r="A129" s="36" t="str">
        <f aca="false">IF(B129="","",ROW()-1)</f>
        <v/>
      </c>
      <c r="B129" s="37" t="str">
        <f aca="false">IF(المخزن!B129="","",المخزن!B129)</f>
        <v/>
      </c>
      <c r="C129" s="38" t="str">
        <f aca="false">IF(B129="","",المخزن!C129)</f>
        <v/>
      </c>
      <c r="D129" s="39" t="str">
        <f aca="false">IF($B129="","",المخزن!G129)</f>
        <v/>
      </c>
      <c r="E129" s="40"/>
      <c r="F129" s="41" t="str">
        <f aca="false">IF(OR(B129="",E129=""),"",E129-D129)</f>
        <v/>
      </c>
      <c r="G129" s="42" t="str">
        <f aca="false">IF(F129="","",IF(F129&gt;0,"زيادة",IF(F129&lt;0,"عجز","مطابق")))</f>
        <v/>
      </c>
      <c r="H129" s="43" t="str">
        <f aca="false">IF(B129="","",المخزن!H129)</f>
        <v/>
      </c>
      <c r="I129" s="44" t="str">
        <f aca="false">IF(F129="","",F129*H129)</f>
        <v/>
      </c>
      <c r="J129" s="22"/>
    </row>
    <row r="130" customFormat="false" ht="15" hidden="false" customHeight="true" outlineLevel="0" collapsed="false">
      <c r="A130" s="36" t="str">
        <f aca="false">IF(B130="","",ROW()-1)</f>
        <v/>
      </c>
      <c r="B130" s="37" t="str">
        <f aca="false">IF(المخزن!B130="","",المخزن!B130)</f>
        <v/>
      </c>
      <c r="C130" s="38" t="str">
        <f aca="false">IF(B130="","",المخزن!C130)</f>
        <v/>
      </c>
      <c r="D130" s="39" t="str">
        <f aca="false">IF($B130="","",المخزن!G130)</f>
        <v/>
      </c>
      <c r="E130" s="40"/>
      <c r="F130" s="41" t="str">
        <f aca="false">IF(OR(B130="",E130=""),"",E130-D130)</f>
        <v/>
      </c>
      <c r="G130" s="42" t="str">
        <f aca="false">IF(F130="","",IF(F130&gt;0,"زيادة",IF(F130&lt;0,"عجز","مطابق")))</f>
        <v/>
      </c>
      <c r="H130" s="43" t="str">
        <f aca="false">IF(B130="","",المخزن!H130)</f>
        <v/>
      </c>
      <c r="I130" s="44" t="str">
        <f aca="false">IF(F130="","",F130*H130)</f>
        <v/>
      </c>
      <c r="J130" s="22"/>
    </row>
    <row r="131" customFormat="false" ht="15" hidden="false" customHeight="true" outlineLevel="0" collapsed="false">
      <c r="A131" s="36" t="str">
        <f aca="false">IF(B131="","",ROW()-1)</f>
        <v/>
      </c>
      <c r="B131" s="37" t="str">
        <f aca="false">IF(المخزن!B131="","",المخزن!B131)</f>
        <v/>
      </c>
      <c r="C131" s="38" t="str">
        <f aca="false">IF(B131="","",المخزن!C131)</f>
        <v/>
      </c>
      <c r="D131" s="39" t="str">
        <f aca="false">IF($B131="","",المخزن!G131)</f>
        <v/>
      </c>
      <c r="E131" s="40"/>
      <c r="F131" s="41" t="str">
        <f aca="false">IF(OR(B131="",E131=""),"",E131-D131)</f>
        <v/>
      </c>
      <c r="G131" s="42" t="str">
        <f aca="false">IF(F131="","",IF(F131&gt;0,"زيادة",IF(F131&lt;0,"عجز","مطابق")))</f>
        <v/>
      </c>
      <c r="H131" s="43" t="str">
        <f aca="false">IF(B131="","",المخزن!H131)</f>
        <v/>
      </c>
      <c r="I131" s="44" t="str">
        <f aca="false">IF(F131="","",F131*H131)</f>
        <v/>
      </c>
      <c r="J131" s="22"/>
    </row>
    <row r="132" customFormat="false" ht="15" hidden="false" customHeight="true" outlineLevel="0" collapsed="false">
      <c r="A132" s="36" t="str">
        <f aca="false">IF(B132="","",ROW()-1)</f>
        <v/>
      </c>
      <c r="B132" s="37" t="str">
        <f aca="false">IF(المخزن!B132="","",المخزن!B132)</f>
        <v/>
      </c>
      <c r="C132" s="38" t="str">
        <f aca="false">IF(B132="","",المخزن!C132)</f>
        <v/>
      </c>
      <c r="D132" s="39" t="str">
        <f aca="false">IF($B132="","",المخزن!G132)</f>
        <v/>
      </c>
      <c r="E132" s="40"/>
      <c r="F132" s="41" t="str">
        <f aca="false">IF(OR(B132="",E132=""),"",E132-D132)</f>
        <v/>
      </c>
      <c r="G132" s="42" t="str">
        <f aca="false">IF(F132="","",IF(F132&gt;0,"زيادة",IF(F132&lt;0,"عجز","مطابق")))</f>
        <v/>
      </c>
      <c r="H132" s="43" t="str">
        <f aca="false">IF(B132="","",المخزن!H132)</f>
        <v/>
      </c>
      <c r="I132" s="44" t="str">
        <f aca="false">IF(F132="","",F132*H132)</f>
        <v/>
      </c>
      <c r="J132" s="22"/>
    </row>
    <row r="133" customFormat="false" ht="15" hidden="false" customHeight="true" outlineLevel="0" collapsed="false">
      <c r="A133" s="36" t="str">
        <f aca="false">IF(B133="","",ROW()-1)</f>
        <v/>
      </c>
      <c r="B133" s="37" t="str">
        <f aca="false">IF(المخزن!B133="","",المخزن!B133)</f>
        <v/>
      </c>
      <c r="C133" s="38" t="str">
        <f aca="false">IF(B133="","",المخزن!C133)</f>
        <v/>
      </c>
      <c r="D133" s="39" t="str">
        <f aca="false">IF($B133="","",المخزن!G133)</f>
        <v/>
      </c>
      <c r="E133" s="40"/>
      <c r="F133" s="41" t="str">
        <f aca="false">IF(OR(B133="",E133=""),"",E133-D133)</f>
        <v/>
      </c>
      <c r="G133" s="42" t="str">
        <f aca="false">IF(F133="","",IF(F133&gt;0,"زيادة",IF(F133&lt;0,"عجز","مطابق")))</f>
        <v/>
      </c>
      <c r="H133" s="43" t="str">
        <f aca="false">IF(B133="","",المخزن!H133)</f>
        <v/>
      </c>
      <c r="I133" s="44" t="str">
        <f aca="false">IF(F133="","",F133*H133)</f>
        <v/>
      </c>
      <c r="J133" s="22"/>
    </row>
    <row r="134" customFormat="false" ht="15" hidden="false" customHeight="true" outlineLevel="0" collapsed="false">
      <c r="A134" s="36" t="str">
        <f aca="false">IF(B134="","",ROW()-1)</f>
        <v/>
      </c>
      <c r="B134" s="37" t="str">
        <f aca="false">IF(المخزن!B134="","",المخزن!B134)</f>
        <v/>
      </c>
      <c r="C134" s="38" t="str">
        <f aca="false">IF(B134="","",المخزن!C134)</f>
        <v/>
      </c>
      <c r="D134" s="39" t="str">
        <f aca="false">IF($B134="","",المخزن!G134)</f>
        <v/>
      </c>
      <c r="E134" s="40"/>
      <c r="F134" s="41" t="str">
        <f aca="false">IF(OR(B134="",E134=""),"",E134-D134)</f>
        <v/>
      </c>
      <c r="G134" s="42" t="str">
        <f aca="false">IF(F134="","",IF(F134&gt;0,"زيادة",IF(F134&lt;0,"عجز","مطابق")))</f>
        <v/>
      </c>
      <c r="H134" s="43" t="str">
        <f aca="false">IF(B134="","",المخزن!H134)</f>
        <v/>
      </c>
      <c r="I134" s="44" t="str">
        <f aca="false">IF(F134="","",F134*H134)</f>
        <v/>
      </c>
      <c r="J134" s="22"/>
    </row>
    <row r="135" customFormat="false" ht="15" hidden="false" customHeight="true" outlineLevel="0" collapsed="false">
      <c r="A135" s="36" t="str">
        <f aca="false">IF(B135="","",ROW()-1)</f>
        <v/>
      </c>
      <c r="B135" s="37" t="str">
        <f aca="false">IF(المخزن!B135="","",المخزن!B135)</f>
        <v/>
      </c>
      <c r="C135" s="38" t="str">
        <f aca="false">IF(B135="","",المخزن!C135)</f>
        <v/>
      </c>
      <c r="D135" s="39" t="str">
        <f aca="false">IF($B135="","",المخزن!G135)</f>
        <v/>
      </c>
      <c r="E135" s="40"/>
      <c r="F135" s="41" t="str">
        <f aca="false">IF(OR(B135="",E135=""),"",E135-D135)</f>
        <v/>
      </c>
      <c r="G135" s="42" t="str">
        <f aca="false">IF(F135="","",IF(F135&gt;0,"زيادة",IF(F135&lt;0,"عجز","مطابق")))</f>
        <v/>
      </c>
      <c r="H135" s="43" t="str">
        <f aca="false">IF(B135="","",المخزن!H135)</f>
        <v/>
      </c>
      <c r="I135" s="44" t="str">
        <f aca="false">IF(F135="","",F135*H135)</f>
        <v/>
      </c>
      <c r="J135" s="22"/>
    </row>
    <row r="136" customFormat="false" ht="15" hidden="false" customHeight="true" outlineLevel="0" collapsed="false">
      <c r="A136" s="36" t="str">
        <f aca="false">IF(B136="","",ROW()-1)</f>
        <v/>
      </c>
      <c r="B136" s="37" t="str">
        <f aca="false">IF(المخزن!B136="","",المخزن!B136)</f>
        <v/>
      </c>
      <c r="C136" s="38" t="str">
        <f aca="false">IF(B136="","",المخزن!C136)</f>
        <v/>
      </c>
      <c r="D136" s="39" t="str">
        <f aca="false">IF($B136="","",المخزن!G136)</f>
        <v/>
      </c>
      <c r="E136" s="40"/>
      <c r="F136" s="41" t="str">
        <f aca="false">IF(OR(B136="",E136=""),"",E136-D136)</f>
        <v/>
      </c>
      <c r="G136" s="42" t="str">
        <f aca="false">IF(F136="","",IF(F136&gt;0,"زيادة",IF(F136&lt;0,"عجز","مطابق")))</f>
        <v/>
      </c>
      <c r="H136" s="43" t="str">
        <f aca="false">IF(B136="","",المخزن!H136)</f>
        <v/>
      </c>
      <c r="I136" s="44" t="str">
        <f aca="false">IF(F136="","",F136*H136)</f>
        <v/>
      </c>
      <c r="J136" s="22"/>
    </row>
    <row r="137" customFormat="false" ht="15" hidden="false" customHeight="true" outlineLevel="0" collapsed="false">
      <c r="A137" s="36" t="str">
        <f aca="false">IF(B137="","",ROW()-1)</f>
        <v/>
      </c>
      <c r="B137" s="37" t="str">
        <f aca="false">IF(المخزن!B137="","",المخزن!B137)</f>
        <v/>
      </c>
      <c r="C137" s="38" t="str">
        <f aca="false">IF(B137="","",المخزن!C137)</f>
        <v/>
      </c>
      <c r="D137" s="39" t="str">
        <f aca="false">IF($B137="","",المخزن!G137)</f>
        <v/>
      </c>
      <c r="E137" s="40"/>
      <c r="F137" s="41" t="str">
        <f aca="false">IF(OR(B137="",E137=""),"",E137-D137)</f>
        <v/>
      </c>
      <c r="G137" s="42" t="str">
        <f aca="false">IF(F137="","",IF(F137&gt;0,"زيادة",IF(F137&lt;0,"عجز","مطابق")))</f>
        <v/>
      </c>
      <c r="H137" s="43" t="str">
        <f aca="false">IF(B137="","",المخزن!H137)</f>
        <v/>
      </c>
      <c r="I137" s="44" t="str">
        <f aca="false">IF(F137="","",F137*H137)</f>
        <v/>
      </c>
      <c r="J137" s="22"/>
    </row>
    <row r="138" customFormat="false" ht="15" hidden="false" customHeight="true" outlineLevel="0" collapsed="false">
      <c r="A138" s="36" t="str">
        <f aca="false">IF(B138="","",ROW()-1)</f>
        <v/>
      </c>
      <c r="B138" s="37" t="str">
        <f aca="false">IF(المخزن!B138="","",المخزن!B138)</f>
        <v/>
      </c>
      <c r="C138" s="38" t="str">
        <f aca="false">IF(B138="","",المخزن!C138)</f>
        <v/>
      </c>
      <c r="D138" s="39" t="str">
        <f aca="false">IF($B138="","",المخزن!G138)</f>
        <v/>
      </c>
      <c r="E138" s="40"/>
      <c r="F138" s="41" t="str">
        <f aca="false">IF(OR(B138="",E138=""),"",E138-D138)</f>
        <v/>
      </c>
      <c r="G138" s="42" t="str">
        <f aca="false">IF(F138="","",IF(F138&gt;0,"زيادة",IF(F138&lt;0,"عجز","مطابق")))</f>
        <v/>
      </c>
      <c r="H138" s="43" t="str">
        <f aca="false">IF(B138="","",المخزن!H138)</f>
        <v/>
      </c>
      <c r="I138" s="44" t="str">
        <f aca="false">IF(F138="","",F138*H138)</f>
        <v/>
      </c>
      <c r="J138" s="22"/>
    </row>
    <row r="139" customFormat="false" ht="15" hidden="false" customHeight="true" outlineLevel="0" collapsed="false">
      <c r="A139" s="36" t="str">
        <f aca="false">IF(B139="","",ROW()-1)</f>
        <v/>
      </c>
      <c r="B139" s="37" t="str">
        <f aca="false">IF(المخزن!B139="","",المخزن!B139)</f>
        <v/>
      </c>
      <c r="C139" s="38" t="str">
        <f aca="false">IF(B139="","",المخزن!C139)</f>
        <v/>
      </c>
      <c r="D139" s="39" t="str">
        <f aca="false">IF($B139="","",المخزن!G139)</f>
        <v/>
      </c>
      <c r="E139" s="40"/>
      <c r="F139" s="41" t="str">
        <f aca="false">IF(OR(B139="",E139=""),"",E139-D139)</f>
        <v/>
      </c>
      <c r="G139" s="42" t="str">
        <f aca="false">IF(F139="","",IF(F139&gt;0,"زيادة",IF(F139&lt;0,"عجز","مطابق")))</f>
        <v/>
      </c>
      <c r="H139" s="43" t="str">
        <f aca="false">IF(B139="","",المخزن!H139)</f>
        <v/>
      </c>
      <c r="I139" s="44" t="str">
        <f aca="false">IF(F139="","",F139*H139)</f>
        <v/>
      </c>
      <c r="J139" s="22"/>
    </row>
    <row r="140" customFormat="false" ht="15" hidden="false" customHeight="true" outlineLevel="0" collapsed="false">
      <c r="A140" s="36" t="str">
        <f aca="false">IF(B140="","",ROW()-1)</f>
        <v/>
      </c>
      <c r="B140" s="37" t="str">
        <f aca="false">IF(المخزن!B140="","",المخزن!B140)</f>
        <v/>
      </c>
      <c r="C140" s="38" t="str">
        <f aca="false">IF(B140="","",المخزن!C140)</f>
        <v/>
      </c>
      <c r="D140" s="39" t="str">
        <f aca="false">IF($B140="","",المخزن!G140)</f>
        <v/>
      </c>
      <c r="E140" s="40"/>
      <c r="F140" s="41" t="str">
        <f aca="false">IF(OR(B140="",E140=""),"",E140-D140)</f>
        <v/>
      </c>
      <c r="G140" s="42" t="str">
        <f aca="false">IF(F140="","",IF(F140&gt;0,"زيادة",IF(F140&lt;0,"عجز","مطابق")))</f>
        <v/>
      </c>
      <c r="H140" s="43" t="str">
        <f aca="false">IF(B140="","",المخزن!H140)</f>
        <v/>
      </c>
      <c r="I140" s="44" t="str">
        <f aca="false">IF(F140="","",F140*H140)</f>
        <v/>
      </c>
      <c r="J140" s="22"/>
    </row>
    <row r="141" customFormat="false" ht="15" hidden="false" customHeight="true" outlineLevel="0" collapsed="false">
      <c r="A141" s="36" t="str">
        <f aca="false">IF(B141="","",ROW()-1)</f>
        <v/>
      </c>
      <c r="B141" s="37" t="str">
        <f aca="false">IF(المخزن!B141="","",المخزن!B141)</f>
        <v/>
      </c>
      <c r="C141" s="38" t="str">
        <f aca="false">IF(B141="","",المخزن!C141)</f>
        <v/>
      </c>
      <c r="D141" s="39" t="str">
        <f aca="false">IF($B141="","",المخزن!G141)</f>
        <v/>
      </c>
      <c r="E141" s="40"/>
      <c r="F141" s="41" t="str">
        <f aca="false">IF(OR(B141="",E141=""),"",E141-D141)</f>
        <v/>
      </c>
      <c r="G141" s="42" t="str">
        <f aca="false">IF(F141="","",IF(F141&gt;0,"زيادة",IF(F141&lt;0,"عجز","مطابق")))</f>
        <v/>
      </c>
      <c r="H141" s="43" t="str">
        <f aca="false">IF(B141="","",المخزن!H141)</f>
        <v/>
      </c>
      <c r="I141" s="44" t="str">
        <f aca="false">IF(F141="","",F141*H141)</f>
        <v/>
      </c>
      <c r="J141" s="22"/>
    </row>
    <row r="142" customFormat="false" ht="15" hidden="false" customHeight="true" outlineLevel="0" collapsed="false">
      <c r="A142" s="36" t="str">
        <f aca="false">IF(B142="","",ROW()-1)</f>
        <v/>
      </c>
      <c r="B142" s="37" t="str">
        <f aca="false">IF(المخزن!B142="","",المخزن!B142)</f>
        <v/>
      </c>
      <c r="C142" s="38" t="str">
        <f aca="false">IF(B142="","",المخزن!C142)</f>
        <v/>
      </c>
      <c r="D142" s="39" t="str">
        <f aca="false">IF($B142="","",المخزن!G142)</f>
        <v/>
      </c>
      <c r="E142" s="40"/>
      <c r="F142" s="41" t="str">
        <f aca="false">IF(OR(B142="",E142=""),"",E142-D142)</f>
        <v/>
      </c>
      <c r="G142" s="42" t="str">
        <f aca="false">IF(F142="","",IF(F142&gt;0,"زيادة",IF(F142&lt;0,"عجز","مطابق")))</f>
        <v/>
      </c>
      <c r="H142" s="43" t="str">
        <f aca="false">IF(B142="","",المخزن!H142)</f>
        <v/>
      </c>
      <c r="I142" s="44" t="str">
        <f aca="false">IF(F142="","",F142*H142)</f>
        <v/>
      </c>
      <c r="J142" s="22"/>
    </row>
    <row r="143" customFormat="false" ht="15" hidden="false" customHeight="true" outlineLevel="0" collapsed="false">
      <c r="A143" s="36" t="str">
        <f aca="false">IF(B143="","",ROW()-1)</f>
        <v/>
      </c>
      <c r="B143" s="37" t="str">
        <f aca="false">IF(المخزن!B143="","",المخزن!B143)</f>
        <v/>
      </c>
      <c r="C143" s="38" t="str">
        <f aca="false">IF(B143="","",المخزن!C143)</f>
        <v/>
      </c>
      <c r="D143" s="39" t="str">
        <f aca="false">IF($B143="","",المخزن!G143)</f>
        <v/>
      </c>
      <c r="E143" s="40"/>
      <c r="F143" s="41" t="str">
        <f aca="false">IF(OR(B143="",E143=""),"",E143-D143)</f>
        <v/>
      </c>
      <c r="G143" s="42" t="str">
        <f aca="false">IF(F143="","",IF(F143&gt;0,"زيادة",IF(F143&lt;0,"عجز","مطابق")))</f>
        <v/>
      </c>
      <c r="H143" s="43" t="str">
        <f aca="false">IF(B143="","",المخزن!H143)</f>
        <v/>
      </c>
      <c r="I143" s="44" t="str">
        <f aca="false">IF(F143="","",F143*H143)</f>
        <v/>
      </c>
      <c r="J143" s="22"/>
    </row>
    <row r="144" customFormat="false" ht="15" hidden="false" customHeight="true" outlineLevel="0" collapsed="false">
      <c r="A144" s="36" t="str">
        <f aca="false">IF(B144="","",ROW()-1)</f>
        <v/>
      </c>
      <c r="B144" s="37" t="str">
        <f aca="false">IF(المخزن!B144="","",المخزن!B144)</f>
        <v/>
      </c>
      <c r="C144" s="38" t="str">
        <f aca="false">IF(B144="","",المخزن!C144)</f>
        <v/>
      </c>
      <c r="D144" s="39" t="str">
        <f aca="false">IF($B144="","",المخزن!G144)</f>
        <v/>
      </c>
      <c r="E144" s="40"/>
      <c r="F144" s="41" t="str">
        <f aca="false">IF(OR(B144="",E144=""),"",E144-D144)</f>
        <v/>
      </c>
      <c r="G144" s="42" t="str">
        <f aca="false">IF(F144="","",IF(F144&gt;0,"زيادة",IF(F144&lt;0,"عجز","مطابق")))</f>
        <v/>
      </c>
      <c r="H144" s="43" t="str">
        <f aca="false">IF(B144="","",المخزن!H144)</f>
        <v/>
      </c>
      <c r="I144" s="44" t="str">
        <f aca="false">IF(F144="","",F144*H144)</f>
        <v/>
      </c>
      <c r="J144" s="22"/>
    </row>
    <row r="145" customFormat="false" ht="15" hidden="false" customHeight="true" outlineLevel="0" collapsed="false">
      <c r="A145" s="36" t="str">
        <f aca="false">IF(B145="","",ROW()-1)</f>
        <v/>
      </c>
      <c r="B145" s="37" t="str">
        <f aca="false">IF(المخزن!B145="","",المخزن!B145)</f>
        <v/>
      </c>
      <c r="C145" s="38" t="str">
        <f aca="false">IF(B145="","",المخزن!C145)</f>
        <v/>
      </c>
      <c r="D145" s="39" t="str">
        <f aca="false">IF($B145="","",المخزن!G145)</f>
        <v/>
      </c>
      <c r="E145" s="40"/>
      <c r="F145" s="41" t="str">
        <f aca="false">IF(OR(B145="",E145=""),"",E145-D145)</f>
        <v/>
      </c>
      <c r="G145" s="42" t="str">
        <f aca="false">IF(F145="","",IF(F145&gt;0,"زيادة",IF(F145&lt;0,"عجز","مطابق")))</f>
        <v/>
      </c>
      <c r="H145" s="43" t="str">
        <f aca="false">IF(B145="","",المخزن!H145)</f>
        <v/>
      </c>
      <c r="I145" s="44" t="str">
        <f aca="false">IF(F145="","",F145*H145)</f>
        <v/>
      </c>
      <c r="J145" s="22"/>
    </row>
    <row r="146" customFormat="false" ht="15" hidden="false" customHeight="true" outlineLevel="0" collapsed="false">
      <c r="A146" s="36" t="str">
        <f aca="false">IF(B146="","",ROW()-1)</f>
        <v/>
      </c>
      <c r="B146" s="37" t="str">
        <f aca="false">IF(المخزن!B146="","",المخزن!B146)</f>
        <v/>
      </c>
      <c r="C146" s="38" t="str">
        <f aca="false">IF(B146="","",المخزن!C146)</f>
        <v/>
      </c>
      <c r="D146" s="39" t="str">
        <f aca="false">IF($B146="","",المخزن!G146)</f>
        <v/>
      </c>
      <c r="E146" s="40"/>
      <c r="F146" s="41" t="str">
        <f aca="false">IF(OR(B146="",E146=""),"",E146-D146)</f>
        <v/>
      </c>
      <c r="G146" s="42" t="str">
        <f aca="false">IF(F146="","",IF(F146&gt;0,"زيادة",IF(F146&lt;0,"عجز","مطابق")))</f>
        <v/>
      </c>
      <c r="H146" s="43" t="str">
        <f aca="false">IF(B146="","",المخزن!H146)</f>
        <v/>
      </c>
      <c r="I146" s="44" t="str">
        <f aca="false">IF(F146="","",F146*H146)</f>
        <v/>
      </c>
      <c r="J146" s="22"/>
    </row>
    <row r="147" customFormat="false" ht="15" hidden="false" customHeight="true" outlineLevel="0" collapsed="false">
      <c r="A147" s="36" t="str">
        <f aca="false">IF(B147="","",ROW()-1)</f>
        <v/>
      </c>
      <c r="B147" s="37" t="str">
        <f aca="false">IF(المخزن!B147="","",المخزن!B147)</f>
        <v/>
      </c>
      <c r="C147" s="38" t="str">
        <f aca="false">IF(B147="","",المخزن!C147)</f>
        <v/>
      </c>
      <c r="D147" s="39" t="str">
        <f aca="false">IF($B147="","",المخزن!G147)</f>
        <v/>
      </c>
      <c r="E147" s="40"/>
      <c r="F147" s="41" t="str">
        <f aca="false">IF(OR(B147="",E147=""),"",E147-D147)</f>
        <v/>
      </c>
      <c r="G147" s="42" t="str">
        <f aca="false">IF(F147="","",IF(F147&gt;0,"زيادة",IF(F147&lt;0,"عجز","مطابق")))</f>
        <v/>
      </c>
      <c r="H147" s="43" t="str">
        <f aca="false">IF(B147="","",المخزن!H147)</f>
        <v/>
      </c>
      <c r="I147" s="44" t="str">
        <f aca="false">IF(F147="","",F147*H147)</f>
        <v/>
      </c>
      <c r="J147" s="22"/>
    </row>
    <row r="148" customFormat="false" ht="15" hidden="false" customHeight="true" outlineLevel="0" collapsed="false">
      <c r="A148" s="36" t="str">
        <f aca="false">IF(B148="","",ROW()-1)</f>
        <v/>
      </c>
      <c r="B148" s="37" t="str">
        <f aca="false">IF(المخزن!B148="","",المخزن!B148)</f>
        <v/>
      </c>
      <c r="C148" s="38" t="str">
        <f aca="false">IF(B148="","",المخزن!C148)</f>
        <v/>
      </c>
      <c r="D148" s="39" t="str">
        <f aca="false">IF($B148="","",المخزن!G148)</f>
        <v/>
      </c>
      <c r="E148" s="40"/>
      <c r="F148" s="41" t="str">
        <f aca="false">IF(OR(B148="",E148=""),"",E148-D148)</f>
        <v/>
      </c>
      <c r="G148" s="42" t="str">
        <f aca="false">IF(F148="","",IF(F148&gt;0,"زيادة",IF(F148&lt;0,"عجز","مطابق")))</f>
        <v/>
      </c>
      <c r="H148" s="43" t="str">
        <f aca="false">IF(B148="","",المخزن!H148)</f>
        <v/>
      </c>
      <c r="I148" s="44" t="str">
        <f aca="false">IF(F148="","",F148*H148)</f>
        <v/>
      </c>
      <c r="J148" s="22"/>
    </row>
    <row r="149" customFormat="false" ht="15" hidden="false" customHeight="true" outlineLevel="0" collapsed="false">
      <c r="A149" s="36" t="str">
        <f aca="false">IF(B149="","",ROW()-1)</f>
        <v/>
      </c>
      <c r="B149" s="37" t="str">
        <f aca="false">IF(المخزن!B149="","",المخزن!B149)</f>
        <v/>
      </c>
      <c r="C149" s="38" t="str">
        <f aca="false">IF(B149="","",المخزن!C149)</f>
        <v/>
      </c>
      <c r="D149" s="39" t="str">
        <f aca="false">IF($B149="","",المخزن!G149)</f>
        <v/>
      </c>
      <c r="E149" s="40"/>
      <c r="F149" s="41" t="str">
        <f aca="false">IF(OR(B149="",E149=""),"",E149-D149)</f>
        <v/>
      </c>
      <c r="G149" s="42" t="str">
        <f aca="false">IF(F149="","",IF(F149&gt;0,"زيادة",IF(F149&lt;0,"عجز","مطابق")))</f>
        <v/>
      </c>
      <c r="H149" s="43" t="str">
        <f aca="false">IF(B149="","",المخزن!H149)</f>
        <v/>
      </c>
      <c r="I149" s="44" t="str">
        <f aca="false">IF(F149="","",F149*H149)</f>
        <v/>
      </c>
      <c r="J149" s="22"/>
    </row>
    <row r="150" customFormat="false" ht="15" hidden="false" customHeight="true" outlineLevel="0" collapsed="false">
      <c r="A150" s="36" t="str">
        <f aca="false">IF(B150="","",ROW()-1)</f>
        <v/>
      </c>
      <c r="B150" s="37" t="str">
        <f aca="false">IF(المخزن!B150="","",المخزن!B150)</f>
        <v/>
      </c>
      <c r="C150" s="38" t="str">
        <f aca="false">IF(B150="","",المخزن!C150)</f>
        <v/>
      </c>
      <c r="D150" s="39" t="str">
        <f aca="false">IF($B150="","",المخزن!G150)</f>
        <v/>
      </c>
      <c r="E150" s="40"/>
      <c r="F150" s="41" t="str">
        <f aca="false">IF(OR(B150="",E150=""),"",E150-D150)</f>
        <v/>
      </c>
      <c r="G150" s="42" t="str">
        <f aca="false">IF(F150="","",IF(F150&gt;0,"زيادة",IF(F150&lt;0,"عجز","مطابق")))</f>
        <v/>
      </c>
      <c r="H150" s="43" t="str">
        <f aca="false">IF(B150="","",المخزن!H150)</f>
        <v/>
      </c>
      <c r="I150" s="44" t="str">
        <f aca="false">IF(F150="","",F150*H150)</f>
        <v/>
      </c>
      <c r="J150" s="22"/>
    </row>
    <row r="151" customFormat="false" ht="15" hidden="false" customHeight="true" outlineLevel="0" collapsed="false">
      <c r="A151" s="36" t="str">
        <f aca="false">IF(B151="","",ROW()-1)</f>
        <v/>
      </c>
      <c r="B151" s="37" t="str">
        <f aca="false">IF(المخزن!B151="","",المخزن!B151)</f>
        <v/>
      </c>
      <c r="C151" s="38" t="str">
        <f aca="false">IF(B151="","",المخزن!C151)</f>
        <v/>
      </c>
      <c r="D151" s="39" t="str">
        <f aca="false">IF($B151="","",المخزن!G151)</f>
        <v/>
      </c>
      <c r="E151" s="40"/>
      <c r="F151" s="41" t="str">
        <f aca="false">IF(OR(B151="",E151=""),"",E151-D151)</f>
        <v/>
      </c>
      <c r="G151" s="42" t="str">
        <f aca="false">IF(F151="","",IF(F151&gt;0,"زيادة",IF(F151&lt;0,"عجز","مطابق")))</f>
        <v/>
      </c>
      <c r="H151" s="43" t="str">
        <f aca="false">IF(B151="","",المخزن!H151)</f>
        <v/>
      </c>
      <c r="I151" s="44" t="str">
        <f aca="false">IF(F151="","",F151*H151)</f>
        <v/>
      </c>
      <c r="J151" s="22"/>
    </row>
    <row r="152" customFormat="false" ht="15" hidden="false" customHeight="true" outlineLevel="0" collapsed="false">
      <c r="A152" s="36" t="str">
        <f aca="false">IF(B152="","",ROW()-1)</f>
        <v/>
      </c>
      <c r="B152" s="37" t="str">
        <f aca="false">IF(المخزن!B152="","",المخزن!B152)</f>
        <v/>
      </c>
      <c r="C152" s="38" t="str">
        <f aca="false">IF(B152="","",المخزن!C152)</f>
        <v/>
      </c>
      <c r="D152" s="39" t="str">
        <f aca="false">IF($B152="","",المخزن!G152)</f>
        <v/>
      </c>
      <c r="E152" s="40"/>
      <c r="F152" s="41" t="str">
        <f aca="false">IF(OR(B152="",E152=""),"",E152-D152)</f>
        <v/>
      </c>
      <c r="G152" s="42" t="str">
        <f aca="false">IF(F152="","",IF(F152&gt;0,"زيادة",IF(F152&lt;0,"عجز","مطابق")))</f>
        <v/>
      </c>
      <c r="H152" s="43" t="str">
        <f aca="false">IF(B152="","",المخزن!H152)</f>
        <v/>
      </c>
      <c r="I152" s="44" t="str">
        <f aca="false">IF(F152="","",F152*H152)</f>
        <v/>
      </c>
      <c r="J152" s="22"/>
    </row>
    <row r="153" customFormat="false" ht="15" hidden="false" customHeight="true" outlineLevel="0" collapsed="false">
      <c r="A153" s="36" t="str">
        <f aca="false">IF(B153="","",ROW()-1)</f>
        <v/>
      </c>
      <c r="B153" s="37" t="str">
        <f aca="false">IF(المخزن!B153="","",المخزن!B153)</f>
        <v/>
      </c>
      <c r="C153" s="38" t="str">
        <f aca="false">IF(B153="","",المخزن!C153)</f>
        <v/>
      </c>
      <c r="D153" s="39" t="str">
        <f aca="false">IF($B153="","",المخزن!G153)</f>
        <v/>
      </c>
      <c r="E153" s="40"/>
      <c r="F153" s="41" t="str">
        <f aca="false">IF(OR(B153="",E153=""),"",E153-D153)</f>
        <v/>
      </c>
      <c r="G153" s="42" t="str">
        <f aca="false">IF(F153="","",IF(F153&gt;0,"زيادة",IF(F153&lt;0,"عجز","مطابق")))</f>
        <v/>
      </c>
      <c r="H153" s="43" t="str">
        <f aca="false">IF(B153="","",المخزن!H153)</f>
        <v/>
      </c>
      <c r="I153" s="44" t="str">
        <f aca="false">IF(F153="","",F153*H153)</f>
        <v/>
      </c>
      <c r="J153" s="22"/>
    </row>
    <row r="154" customFormat="false" ht="15" hidden="false" customHeight="true" outlineLevel="0" collapsed="false">
      <c r="A154" s="36" t="str">
        <f aca="false">IF(B154="","",ROW()-1)</f>
        <v/>
      </c>
      <c r="B154" s="37" t="str">
        <f aca="false">IF(المخزن!B154="","",المخزن!B154)</f>
        <v/>
      </c>
      <c r="C154" s="38" t="str">
        <f aca="false">IF(B154="","",المخزن!C154)</f>
        <v/>
      </c>
      <c r="D154" s="39" t="str">
        <f aca="false">IF($B154="","",المخزن!G154)</f>
        <v/>
      </c>
      <c r="E154" s="40"/>
      <c r="F154" s="41" t="str">
        <f aca="false">IF(OR(B154="",E154=""),"",E154-D154)</f>
        <v/>
      </c>
      <c r="G154" s="42" t="str">
        <f aca="false">IF(F154="","",IF(F154&gt;0,"زيادة",IF(F154&lt;0,"عجز","مطابق")))</f>
        <v/>
      </c>
      <c r="H154" s="43" t="str">
        <f aca="false">IF(B154="","",المخزن!H154)</f>
        <v/>
      </c>
      <c r="I154" s="44" t="str">
        <f aca="false">IF(F154="","",F154*H154)</f>
        <v/>
      </c>
      <c r="J154" s="22"/>
    </row>
    <row r="155" customFormat="false" ht="15" hidden="false" customHeight="true" outlineLevel="0" collapsed="false">
      <c r="A155" s="36" t="str">
        <f aca="false">IF(B155="","",ROW()-1)</f>
        <v/>
      </c>
      <c r="B155" s="37" t="str">
        <f aca="false">IF(المخزن!B155="","",المخزن!B155)</f>
        <v/>
      </c>
      <c r="C155" s="38" t="str">
        <f aca="false">IF(B155="","",المخزن!C155)</f>
        <v/>
      </c>
      <c r="D155" s="39" t="str">
        <f aca="false">IF($B155="","",المخزن!G155)</f>
        <v/>
      </c>
      <c r="E155" s="40"/>
      <c r="F155" s="41" t="str">
        <f aca="false">IF(OR(B155="",E155=""),"",E155-D155)</f>
        <v/>
      </c>
      <c r="G155" s="42" t="str">
        <f aca="false">IF(F155="","",IF(F155&gt;0,"زيادة",IF(F155&lt;0,"عجز","مطابق")))</f>
        <v/>
      </c>
      <c r="H155" s="43" t="str">
        <f aca="false">IF(B155="","",المخزن!H155)</f>
        <v/>
      </c>
      <c r="I155" s="44" t="str">
        <f aca="false">IF(F155="","",F155*H155)</f>
        <v/>
      </c>
      <c r="J155" s="22"/>
    </row>
    <row r="156" customFormat="false" ht="15" hidden="false" customHeight="true" outlineLevel="0" collapsed="false">
      <c r="A156" s="36" t="str">
        <f aca="false">IF(B156="","",ROW()-1)</f>
        <v/>
      </c>
      <c r="B156" s="37" t="str">
        <f aca="false">IF(المخزن!B156="","",المخزن!B156)</f>
        <v/>
      </c>
      <c r="C156" s="38" t="str">
        <f aca="false">IF(B156="","",المخزن!C156)</f>
        <v/>
      </c>
      <c r="D156" s="39" t="str">
        <f aca="false">IF($B156="","",المخزن!G156)</f>
        <v/>
      </c>
      <c r="E156" s="40"/>
      <c r="F156" s="41" t="str">
        <f aca="false">IF(OR(B156="",E156=""),"",E156-D156)</f>
        <v/>
      </c>
      <c r="G156" s="42" t="str">
        <f aca="false">IF(F156="","",IF(F156&gt;0,"زيادة",IF(F156&lt;0,"عجز","مطابق")))</f>
        <v/>
      </c>
      <c r="H156" s="43" t="str">
        <f aca="false">IF(B156="","",المخزن!H156)</f>
        <v/>
      </c>
      <c r="I156" s="44" t="str">
        <f aca="false">IF(F156="","",F156*H156)</f>
        <v/>
      </c>
      <c r="J156" s="22"/>
    </row>
    <row r="157" customFormat="false" ht="15" hidden="false" customHeight="true" outlineLevel="0" collapsed="false">
      <c r="A157" s="36" t="str">
        <f aca="false">IF(B157="","",ROW()-1)</f>
        <v/>
      </c>
      <c r="B157" s="37" t="str">
        <f aca="false">IF(المخزن!B157="","",المخزن!B157)</f>
        <v/>
      </c>
      <c r="C157" s="38" t="str">
        <f aca="false">IF(B157="","",المخزن!C157)</f>
        <v/>
      </c>
      <c r="D157" s="39" t="str">
        <f aca="false">IF($B157="","",المخزن!G157)</f>
        <v/>
      </c>
      <c r="E157" s="40"/>
      <c r="F157" s="41" t="str">
        <f aca="false">IF(OR(B157="",E157=""),"",E157-D157)</f>
        <v/>
      </c>
      <c r="G157" s="42" t="str">
        <f aca="false">IF(F157="","",IF(F157&gt;0,"زيادة",IF(F157&lt;0,"عجز","مطابق")))</f>
        <v/>
      </c>
      <c r="H157" s="43" t="str">
        <f aca="false">IF(B157="","",المخزن!H157)</f>
        <v/>
      </c>
      <c r="I157" s="44" t="str">
        <f aca="false">IF(F157="","",F157*H157)</f>
        <v/>
      </c>
      <c r="J157" s="22"/>
    </row>
    <row r="158" customFormat="false" ht="15" hidden="false" customHeight="true" outlineLevel="0" collapsed="false">
      <c r="A158" s="36" t="str">
        <f aca="false">IF(B158="","",ROW()-1)</f>
        <v/>
      </c>
      <c r="B158" s="37" t="str">
        <f aca="false">IF(المخزن!B158="","",المخزن!B158)</f>
        <v/>
      </c>
      <c r="C158" s="38" t="str">
        <f aca="false">IF(B158="","",المخزن!C158)</f>
        <v/>
      </c>
      <c r="D158" s="39" t="str">
        <f aca="false">IF($B158="","",المخزن!G158)</f>
        <v/>
      </c>
      <c r="E158" s="40"/>
      <c r="F158" s="41" t="str">
        <f aca="false">IF(OR(B158="",E158=""),"",E158-D158)</f>
        <v/>
      </c>
      <c r="G158" s="42" t="str">
        <f aca="false">IF(F158="","",IF(F158&gt;0,"زيادة",IF(F158&lt;0,"عجز","مطابق")))</f>
        <v/>
      </c>
      <c r="H158" s="43" t="str">
        <f aca="false">IF(B158="","",المخزن!H158)</f>
        <v/>
      </c>
      <c r="I158" s="44" t="str">
        <f aca="false">IF(F158="","",F158*H158)</f>
        <v/>
      </c>
      <c r="J158" s="22"/>
    </row>
    <row r="159" customFormat="false" ht="15" hidden="false" customHeight="true" outlineLevel="0" collapsed="false">
      <c r="A159" s="36" t="str">
        <f aca="false">IF(B159="","",ROW()-1)</f>
        <v/>
      </c>
      <c r="B159" s="37" t="str">
        <f aca="false">IF(المخزن!B159="","",المخزن!B159)</f>
        <v/>
      </c>
      <c r="C159" s="38" t="str">
        <f aca="false">IF(B159="","",المخزن!C159)</f>
        <v/>
      </c>
      <c r="D159" s="39" t="str">
        <f aca="false">IF($B159="","",المخزن!G159)</f>
        <v/>
      </c>
      <c r="E159" s="40"/>
      <c r="F159" s="41" t="str">
        <f aca="false">IF(OR(B159="",E159=""),"",E159-D159)</f>
        <v/>
      </c>
      <c r="G159" s="42" t="str">
        <f aca="false">IF(F159="","",IF(F159&gt;0,"زيادة",IF(F159&lt;0,"عجز","مطابق")))</f>
        <v/>
      </c>
      <c r="H159" s="43" t="str">
        <f aca="false">IF(B159="","",المخزن!H159)</f>
        <v/>
      </c>
      <c r="I159" s="44" t="str">
        <f aca="false">IF(F159="","",F159*H159)</f>
        <v/>
      </c>
      <c r="J159" s="22"/>
    </row>
    <row r="160" customFormat="false" ht="15" hidden="false" customHeight="true" outlineLevel="0" collapsed="false">
      <c r="A160" s="36" t="str">
        <f aca="false">IF(B160="","",ROW()-1)</f>
        <v/>
      </c>
      <c r="B160" s="37" t="str">
        <f aca="false">IF(المخزن!B160="","",المخزن!B160)</f>
        <v/>
      </c>
      <c r="C160" s="38" t="str">
        <f aca="false">IF(B160="","",المخزن!C160)</f>
        <v/>
      </c>
      <c r="D160" s="39" t="str">
        <f aca="false">IF($B160="","",المخزن!G160)</f>
        <v/>
      </c>
      <c r="E160" s="40"/>
      <c r="F160" s="41" t="str">
        <f aca="false">IF(OR(B160="",E160=""),"",E160-D160)</f>
        <v/>
      </c>
      <c r="G160" s="42" t="str">
        <f aca="false">IF(F160="","",IF(F160&gt;0,"زيادة",IF(F160&lt;0,"عجز","مطابق")))</f>
        <v/>
      </c>
      <c r="H160" s="43" t="str">
        <f aca="false">IF(B160="","",المخزن!H160)</f>
        <v/>
      </c>
      <c r="I160" s="44" t="str">
        <f aca="false">IF(F160="","",F160*H160)</f>
        <v/>
      </c>
      <c r="J160" s="22"/>
    </row>
    <row r="161" customFormat="false" ht="15" hidden="false" customHeight="true" outlineLevel="0" collapsed="false">
      <c r="A161" s="36" t="str">
        <f aca="false">IF(B161="","",ROW()-1)</f>
        <v/>
      </c>
      <c r="B161" s="37" t="str">
        <f aca="false">IF(المخزن!B161="","",المخزن!B161)</f>
        <v/>
      </c>
      <c r="C161" s="38" t="str">
        <f aca="false">IF(B161="","",المخزن!C161)</f>
        <v/>
      </c>
      <c r="D161" s="39" t="str">
        <f aca="false">IF($B161="","",المخزن!G161)</f>
        <v/>
      </c>
      <c r="E161" s="40"/>
      <c r="F161" s="41" t="str">
        <f aca="false">IF(OR(B161="",E161=""),"",E161-D161)</f>
        <v/>
      </c>
      <c r="G161" s="42" t="str">
        <f aca="false">IF(F161="","",IF(F161&gt;0,"زيادة",IF(F161&lt;0,"عجز","مطابق")))</f>
        <v/>
      </c>
      <c r="H161" s="43" t="str">
        <f aca="false">IF(B161="","",المخزن!H161)</f>
        <v/>
      </c>
      <c r="I161" s="44" t="str">
        <f aca="false">IF(F161="","",F161*H161)</f>
        <v/>
      </c>
      <c r="J161" s="22"/>
    </row>
    <row r="162" customFormat="false" ht="15" hidden="false" customHeight="true" outlineLevel="0" collapsed="false">
      <c r="A162" s="36" t="str">
        <f aca="false">IF(B162="","",ROW()-1)</f>
        <v/>
      </c>
      <c r="B162" s="37" t="str">
        <f aca="false">IF(المخزن!B162="","",المخزن!B162)</f>
        <v/>
      </c>
      <c r="C162" s="38" t="str">
        <f aca="false">IF(B162="","",المخزن!C162)</f>
        <v/>
      </c>
      <c r="D162" s="39" t="str">
        <f aca="false">IF($B162="","",المخزن!G162)</f>
        <v/>
      </c>
      <c r="E162" s="40"/>
      <c r="F162" s="41" t="str">
        <f aca="false">IF(OR(B162="",E162=""),"",E162-D162)</f>
        <v/>
      </c>
      <c r="G162" s="42" t="str">
        <f aca="false">IF(F162="","",IF(F162&gt;0,"زيادة",IF(F162&lt;0,"عجز","مطابق")))</f>
        <v/>
      </c>
      <c r="H162" s="43" t="str">
        <f aca="false">IF(B162="","",المخزن!H162)</f>
        <v/>
      </c>
      <c r="I162" s="44" t="str">
        <f aca="false">IF(F162="","",F162*H162)</f>
        <v/>
      </c>
      <c r="J162" s="22"/>
    </row>
    <row r="163" customFormat="false" ht="15" hidden="false" customHeight="true" outlineLevel="0" collapsed="false">
      <c r="A163" s="36" t="str">
        <f aca="false">IF(B163="","",ROW()-1)</f>
        <v/>
      </c>
      <c r="B163" s="37" t="str">
        <f aca="false">IF(المخزن!B163="","",المخزن!B163)</f>
        <v/>
      </c>
      <c r="C163" s="38" t="str">
        <f aca="false">IF(B163="","",المخزن!C163)</f>
        <v/>
      </c>
      <c r="D163" s="39" t="str">
        <f aca="false">IF($B163="","",المخزن!G163)</f>
        <v/>
      </c>
      <c r="E163" s="40"/>
      <c r="F163" s="41" t="str">
        <f aca="false">IF(OR(B163="",E163=""),"",E163-D163)</f>
        <v/>
      </c>
      <c r="G163" s="42" t="str">
        <f aca="false">IF(F163="","",IF(F163&gt;0,"زيادة",IF(F163&lt;0,"عجز","مطابق")))</f>
        <v/>
      </c>
      <c r="H163" s="43" t="str">
        <f aca="false">IF(B163="","",المخزن!H163)</f>
        <v/>
      </c>
      <c r="I163" s="44" t="str">
        <f aca="false">IF(F163="","",F163*H163)</f>
        <v/>
      </c>
      <c r="J163" s="22"/>
    </row>
    <row r="164" customFormat="false" ht="15" hidden="false" customHeight="true" outlineLevel="0" collapsed="false">
      <c r="A164" s="36" t="str">
        <f aca="false">IF(B164="","",ROW()-1)</f>
        <v/>
      </c>
      <c r="B164" s="37" t="str">
        <f aca="false">IF(المخزن!B164="","",المخزن!B164)</f>
        <v/>
      </c>
      <c r="C164" s="38" t="str">
        <f aca="false">IF(B164="","",المخزن!C164)</f>
        <v/>
      </c>
      <c r="D164" s="39" t="str">
        <f aca="false">IF($B164="","",المخزن!G164)</f>
        <v/>
      </c>
      <c r="E164" s="40"/>
      <c r="F164" s="41" t="str">
        <f aca="false">IF(OR(B164="",E164=""),"",E164-D164)</f>
        <v/>
      </c>
      <c r="G164" s="42" t="str">
        <f aca="false">IF(F164="","",IF(F164&gt;0,"زيادة",IF(F164&lt;0,"عجز","مطابق")))</f>
        <v/>
      </c>
      <c r="H164" s="43" t="str">
        <f aca="false">IF(B164="","",المخزن!H164)</f>
        <v/>
      </c>
      <c r="I164" s="44" t="str">
        <f aca="false">IF(F164="","",F164*H164)</f>
        <v/>
      </c>
      <c r="J164" s="22"/>
    </row>
    <row r="165" customFormat="false" ht="15" hidden="false" customHeight="true" outlineLevel="0" collapsed="false">
      <c r="A165" s="36" t="str">
        <f aca="false">IF(B165="","",ROW()-1)</f>
        <v/>
      </c>
      <c r="B165" s="37" t="str">
        <f aca="false">IF(المخزن!B165="","",المخزن!B165)</f>
        <v/>
      </c>
      <c r="C165" s="38" t="str">
        <f aca="false">IF(B165="","",المخزن!C165)</f>
        <v/>
      </c>
      <c r="D165" s="39" t="str">
        <f aca="false">IF($B165="","",المخزن!G165)</f>
        <v/>
      </c>
      <c r="E165" s="40"/>
      <c r="F165" s="41" t="str">
        <f aca="false">IF(OR(B165="",E165=""),"",E165-D165)</f>
        <v/>
      </c>
      <c r="G165" s="42" t="str">
        <f aca="false">IF(F165="","",IF(F165&gt;0,"زيادة",IF(F165&lt;0,"عجز","مطابق")))</f>
        <v/>
      </c>
      <c r="H165" s="43" t="str">
        <f aca="false">IF(B165="","",المخزن!H165)</f>
        <v/>
      </c>
      <c r="I165" s="44" t="str">
        <f aca="false">IF(F165="","",F165*H165)</f>
        <v/>
      </c>
      <c r="J165" s="22"/>
    </row>
    <row r="166" customFormat="false" ht="15" hidden="false" customHeight="true" outlineLevel="0" collapsed="false">
      <c r="A166" s="36" t="str">
        <f aca="false">IF(B166="","",ROW()-1)</f>
        <v/>
      </c>
      <c r="B166" s="37" t="str">
        <f aca="false">IF(المخزن!B166="","",المخزن!B166)</f>
        <v/>
      </c>
      <c r="C166" s="38" t="str">
        <f aca="false">IF(B166="","",المخزن!C166)</f>
        <v/>
      </c>
      <c r="D166" s="39" t="str">
        <f aca="false">IF($B166="","",المخزن!G166)</f>
        <v/>
      </c>
      <c r="E166" s="40"/>
      <c r="F166" s="41" t="str">
        <f aca="false">IF(OR(B166="",E166=""),"",E166-D166)</f>
        <v/>
      </c>
      <c r="G166" s="42" t="str">
        <f aca="false">IF(F166="","",IF(F166&gt;0,"زيادة",IF(F166&lt;0,"عجز","مطابق")))</f>
        <v/>
      </c>
      <c r="H166" s="43" t="str">
        <f aca="false">IF(B166="","",المخزن!H166)</f>
        <v/>
      </c>
      <c r="I166" s="44" t="str">
        <f aca="false">IF(F166="","",F166*H166)</f>
        <v/>
      </c>
      <c r="J166" s="22"/>
    </row>
    <row r="167" customFormat="false" ht="15" hidden="false" customHeight="true" outlineLevel="0" collapsed="false">
      <c r="A167" s="36" t="str">
        <f aca="false">IF(B167="","",ROW()-1)</f>
        <v/>
      </c>
      <c r="B167" s="37" t="str">
        <f aca="false">IF(المخزن!B167="","",المخزن!B167)</f>
        <v/>
      </c>
      <c r="C167" s="38" t="str">
        <f aca="false">IF(B167="","",المخزن!C167)</f>
        <v/>
      </c>
      <c r="D167" s="39" t="str">
        <f aca="false">IF($B167="","",المخزن!G167)</f>
        <v/>
      </c>
      <c r="E167" s="40"/>
      <c r="F167" s="41" t="str">
        <f aca="false">IF(OR(B167="",E167=""),"",E167-D167)</f>
        <v/>
      </c>
      <c r="G167" s="42" t="str">
        <f aca="false">IF(F167="","",IF(F167&gt;0,"زيادة",IF(F167&lt;0,"عجز","مطابق")))</f>
        <v/>
      </c>
      <c r="H167" s="43" t="str">
        <f aca="false">IF(B167="","",المخزن!H167)</f>
        <v/>
      </c>
      <c r="I167" s="44" t="str">
        <f aca="false">IF(F167="","",F167*H167)</f>
        <v/>
      </c>
      <c r="J167" s="22"/>
    </row>
    <row r="168" customFormat="false" ht="15" hidden="false" customHeight="true" outlineLevel="0" collapsed="false">
      <c r="A168" s="36" t="str">
        <f aca="false">IF(B168="","",ROW()-1)</f>
        <v/>
      </c>
      <c r="B168" s="37" t="str">
        <f aca="false">IF(المخزن!B168="","",المخزن!B168)</f>
        <v/>
      </c>
      <c r="C168" s="38" t="str">
        <f aca="false">IF(B168="","",المخزن!C168)</f>
        <v/>
      </c>
      <c r="D168" s="39" t="str">
        <f aca="false">IF($B168="","",المخزن!G168)</f>
        <v/>
      </c>
      <c r="E168" s="40"/>
      <c r="F168" s="41" t="str">
        <f aca="false">IF(OR(B168="",E168=""),"",E168-D168)</f>
        <v/>
      </c>
      <c r="G168" s="42" t="str">
        <f aca="false">IF(F168="","",IF(F168&gt;0,"زيادة",IF(F168&lt;0,"عجز","مطابق")))</f>
        <v/>
      </c>
      <c r="H168" s="43" t="str">
        <f aca="false">IF(B168="","",المخزن!H168)</f>
        <v/>
      </c>
      <c r="I168" s="44" t="str">
        <f aca="false">IF(F168="","",F168*H168)</f>
        <v/>
      </c>
      <c r="J168" s="22"/>
    </row>
    <row r="169" customFormat="false" ht="15" hidden="false" customHeight="true" outlineLevel="0" collapsed="false">
      <c r="A169" s="36" t="str">
        <f aca="false">IF(B169="","",ROW()-1)</f>
        <v/>
      </c>
      <c r="B169" s="37" t="str">
        <f aca="false">IF(المخزن!B169="","",المخزن!B169)</f>
        <v/>
      </c>
      <c r="C169" s="38" t="str">
        <f aca="false">IF(B169="","",المخزن!C169)</f>
        <v/>
      </c>
      <c r="D169" s="39" t="str">
        <f aca="false">IF($B169="","",المخزن!G169)</f>
        <v/>
      </c>
      <c r="E169" s="40"/>
      <c r="F169" s="41" t="str">
        <f aca="false">IF(OR(B169="",E169=""),"",E169-D169)</f>
        <v/>
      </c>
      <c r="G169" s="42" t="str">
        <f aca="false">IF(F169="","",IF(F169&gt;0,"زيادة",IF(F169&lt;0,"عجز","مطابق")))</f>
        <v/>
      </c>
      <c r="H169" s="43" t="str">
        <f aca="false">IF(B169="","",المخزن!H169)</f>
        <v/>
      </c>
      <c r="I169" s="44" t="str">
        <f aca="false">IF(F169="","",F169*H169)</f>
        <v/>
      </c>
      <c r="J169" s="22"/>
    </row>
    <row r="170" customFormat="false" ht="15" hidden="false" customHeight="true" outlineLevel="0" collapsed="false">
      <c r="A170" s="36" t="str">
        <f aca="false">IF(B170="","",ROW()-1)</f>
        <v/>
      </c>
      <c r="B170" s="37" t="str">
        <f aca="false">IF(المخزن!B170="","",المخزن!B170)</f>
        <v/>
      </c>
      <c r="C170" s="38" t="str">
        <f aca="false">IF(B170="","",المخزن!C170)</f>
        <v/>
      </c>
      <c r="D170" s="39" t="str">
        <f aca="false">IF($B170="","",المخزن!G170)</f>
        <v/>
      </c>
      <c r="E170" s="40"/>
      <c r="F170" s="41" t="str">
        <f aca="false">IF(OR(B170="",E170=""),"",E170-D170)</f>
        <v/>
      </c>
      <c r="G170" s="42" t="str">
        <f aca="false">IF(F170="","",IF(F170&gt;0,"زيادة",IF(F170&lt;0,"عجز","مطابق")))</f>
        <v/>
      </c>
      <c r="H170" s="43" t="str">
        <f aca="false">IF(B170="","",المخزن!H170)</f>
        <v/>
      </c>
      <c r="I170" s="44" t="str">
        <f aca="false">IF(F170="","",F170*H170)</f>
        <v/>
      </c>
      <c r="J170" s="22"/>
    </row>
    <row r="171" customFormat="false" ht="15" hidden="false" customHeight="true" outlineLevel="0" collapsed="false">
      <c r="A171" s="36" t="str">
        <f aca="false">IF(B171="","",ROW()-1)</f>
        <v/>
      </c>
      <c r="B171" s="37" t="str">
        <f aca="false">IF(المخزن!B171="","",المخزن!B171)</f>
        <v/>
      </c>
      <c r="C171" s="38" t="str">
        <f aca="false">IF(B171="","",المخزن!C171)</f>
        <v/>
      </c>
      <c r="D171" s="39" t="str">
        <f aca="false">IF($B171="","",المخزن!G171)</f>
        <v/>
      </c>
      <c r="E171" s="40"/>
      <c r="F171" s="41" t="str">
        <f aca="false">IF(OR(B171="",E171=""),"",E171-D171)</f>
        <v/>
      </c>
      <c r="G171" s="42" t="str">
        <f aca="false">IF(F171="","",IF(F171&gt;0,"زيادة",IF(F171&lt;0,"عجز","مطابق")))</f>
        <v/>
      </c>
      <c r="H171" s="43" t="str">
        <f aca="false">IF(B171="","",المخزن!H171)</f>
        <v/>
      </c>
      <c r="I171" s="44" t="str">
        <f aca="false">IF(F171="","",F171*H171)</f>
        <v/>
      </c>
      <c r="J171" s="22"/>
    </row>
    <row r="172" customFormat="false" ht="15" hidden="false" customHeight="true" outlineLevel="0" collapsed="false">
      <c r="A172" s="36" t="str">
        <f aca="false">IF(B172="","",ROW()-1)</f>
        <v/>
      </c>
      <c r="B172" s="37" t="str">
        <f aca="false">IF(المخزن!B172="","",المخزن!B172)</f>
        <v/>
      </c>
      <c r="C172" s="38" t="str">
        <f aca="false">IF(B172="","",المخزن!C172)</f>
        <v/>
      </c>
      <c r="D172" s="39" t="str">
        <f aca="false">IF($B172="","",المخزن!G172)</f>
        <v/>
      </c>
      <c r="E172" s="40"/>
      <c r="F172" s="41" t="str">
        <f aca="false">IF(OR(B172="",E172=""),"",E172-D172)</f>
        <v/>
      </c>
      <c r="G172" s="42" t="str">
        <f aca="false">IF(F172="","",IF(F172&gt;0,"زيادة",IF(F172&lt;0,"عجز","مطابق")))</f>
        <v/>
      </c>
      <c r="H172" s="43" t="str">
        <f aca="false">IF(B172="","",المخزن!H172)</f>
        <v/>
      </c>
      <c r="I172" s="44" t="str">
        <f aca="false">IF(F172="","",F172*H172)</f>
        <v/>
      </c>
      <c r="J172" s="22"/>
    </row>
    <row r="173" customFormat="false" ht="15" hidden="false" customHeight="true" outlineLevel="0" collapsed="false">
      <c r="A173" s="36" t="str">
        <f aca="false">IF(B173="","",ROW()-1)</f>
        <v/>
      </c>
      <c r="B173" s="37" t="str">
        <f aca="false">IF(المخزن!B173="","",المخزن!B173)</f>
        <v/>
      </c>
      <c r="C173" s="38" t="str">
        <f aca="false">IF(B173="","",المخزن!C173)</f>
        <v/>
      </c>
      <c r="D173" s="39" t="str">
        <f aca="false">IF($B173="","",المخزن!G173)</f>
        <v/>
      </c>
      <c r="E173" s="40"/>
      <c r="F173" s="41" t="str">
        <f aca="false">IF(OR(B173="",E173=""),"",E173-D173)</f>
        <v/>
      </c>
      <c r="G173" s="42" t="str">
        <f aca="false">IF(F173="","",IF(F173&gt;0,"زيادة",IF(F173&lt;0,"عجز","مطابق")))</f>
        <v/>
      </c>
      <c r="H173" s="43" t="str">
        <f aca="false">IF(B173="","",المخزن!H173)</f>
        <v/>
      </c>
      <c r="I173" s="44" t="str">
        <f aca="false">IF(F173="","",F173*H173)</f>
        <v/>
      </c>
      <c r="J173" s="22"/>
    </row>
    <row r="174" customFormat="false" ht="15" hidden="false" customHeight="true" outlineLevel="0" collapsed="false">
      <c r="A174" s="36" t="str">
        <f aca="false">IF(B174="","",ROW()-1)</f>
        <v/>
      </c>
      <c r="B174" s="37" t="str">
        <f aca="false">IF(المخزن!B174="","",المخزن!B174)</f>
        <v/>
      </c>
      <c r="C174" s="38" t="str">
        <f aca="false">IF(B174="","",المخزن!C174)</f>
        <v/>
      </c>
      <c r="D174" s="39" t="str">
        <f aca="false">IF($B174="","",المخزن!G174)</f>
        <v/>
      </c>
      <c r="E174" s="40"/>
      <c r="F174" s="41" t="str">
        <f aca="false">IF(OR(B174="",E174=""),"",E174-D174)</f>
        <v/>
      </c>
      <c r="G174" s="42" t="str">
        <f aca="false">IF(F174="","",IF(F174&gt;0,"زيادة",IF(F174&lt;0,"عجز","مطابق")))</f>
        <v/>
      </c>
      <c r="H174" s="43" t="str">
        <f aca="false">IF(B174="","",المخزن!H174)</f>
        <v/>
      </c>
      <c r="I174" s="44" t="str">
        <f aca="false">IF(F174="","",F174*H174)</f>
        <v/>
      </c>
      <c r="J174" s="22"/>
    </row>
    <row r="175" customFormat="false" ht="15" hidden="false" customHeight="true" outlineLevel="0" collapsed="false">
      <c r="A175" s="36" t="str">
        <f aca="false">IF(B175="","",ROW()-1)</f>
        <v/>
      </c>
      <c r="B175" s="37" t="str">
        <f aca="false">IF(المخزن!B175="","",المخزن!B175)</f>
        <v/>
      </c>
      <c r="C175" s="38" t="str">
        <f aca="false">IF(B175="","",المخزن!C175)</f>
        <v/>
      </c>
      <c r="D175" s="39" t="str">
        <f aca="false">IF($B175="","",المخزن!G175)</f>
        <v/>
      </c>
      <c r="E175" s="40"/>
      <c r="F175" s="41" t="str">
        <f aca="false">IF(OR(B175="",E175=""),"",E175-D175)</f>
        <v/>
      </c>
      <c r="G175" s="42" t="str">
        <f aca="false">IF(F175="","",IF(F175&gt;0,"زيادة",IF(F175&lt;0,"عجز","مطابق")))</f>
        <v/>
      </c>
      <c r="H175" s="43" t="str">
        <f aca="false">IF(B175="","",المخزن!H175)</f>
        <v/>
      </c>
      <c r="I175" s="44" t="str">
        <f aca="false">IF(F175="","",F175*H175)</f>
        <v/>
      </c>
      <c r="J175" s="22"/>
    </row>
    <row r="176" customFormat="false" ht="15" hidden="false" customHeight="true" outlineLevel="0" collapsed="false">
      <c r="A176" s="36" t="str">
        <f aca="false">IF(B176="","",ROW()-1)</f>
        <v/>
      </c>
      <c r="B176" s="37" t="str">
        <f aca="false">IF(المخزن!B176="","",المخزن!B176)</f>
        <v/>
      </c>
      <c r="C176" s="38" t="str">
        <f aca="false">IF(B176="","",المخزن!C176)</f>
        <v/>
      </c>
      <c r="D176" s="39" t="str">
        <f aca="false">IF($B176="","",المخزن!G176)</f>
        <v/>
      </c>
      <c r="E176" s="40"/>
      <c r="F176" s="41" t="str">
        <f aca="false">IF(OR(B176="",E176=""),"",E176-D176)</f>
        <v/>
      </c>
      <c r="G176" s="42" t="str">
        <f aca="false">IF(F176="","",IF(F176&gt;0,"زيادة",IF(F176&lt;0,"عجز","مطابق")))</f>
        <v/>
      </c>
      <c r="H176" s="43" t="str">
        <f aca="false">IF(B176="","",المخزن!H176)</f>
        <v/>
      </c>
      <c r="I176" s="44" t="str">
        <f aca="false">IF(F176="","",F176*H176)</f>
        <v/>
      </c>
      <c r="J176" s="22"/>
    </row>
    <row r="177" customFormat="false" ht="15" hidden="false" customHeight="true" outlineLevel="0" collapsed="false">
      <c r="A177" s="36" t="str">
        <f aca="false">IF(B177="","",ROW()-1)</f>
        <v/>
      </c>
      <c r="B177" s="37" t="str">
        <f aca="false">IF(المخزن!B177="","",المخزن!B177)</f>
        <v/>
      </c>
      <c r="C177" s="38" t="str">
        <f aca="false">IF(B177="","",المخزن!C177)</f>
        <v/>
      </c>
      <c r="D177" s="39" t="str">
        <f aca="false">IF($B177="","",المخزن!G177)</f>
        <v/>
      </c>
      <c r="E177" s="40"/>
      <c r="F177" s="41" t="str">
        <f aca="false">IF(OR(B177="",E177=""),"",E177-D177)</f>
        <v/>
      </c>
      <c r="G177" s="42" t="str">
        <f aca="false">IF(F177="","",IF(F177&gt;0,"زيادة",IF(F177&lt;0,"عجز","مطابق")))</f>
        <v/>
      </c>
      <c r="H177" s="43" t="str">
        <f aca="false">IF(B177="","",المخزن!H177)</f>
        <v/>
      </c>
      <c r="I177" s="44" t="str">
        <f aca="false">IF(F177="","",F177*H177)</f>
        <v/>
      </c>
      <c r="J177" s="22"/>
    </row>
    <row r="178" customFormat="false" ht="15" hidden="false" customHeight="true" outlineLevel="0" collapsed="false">
      <c r="A178" s="36" t="str">
        <f aca="false">IF(B178="","",ROW()-1)</f>
        <v/>
      </c>
      <c r="B178" s="37" t="str">
        <f aca="false">IF(المخزن!B178="","",المخزن!B178)</f>
        <v/>
      </c>
      <c r="C178" s="38" t="str">
        <f aca="false">IF(B178="","",المخزن!C178)</f>
        <v/>
      </c>
      <c r="D178" s="39" t="str">
        <f aca="false">IF($B178="","",المخزن!G178)</f>
        <v/>
      </c>
      <c r="E178" s="40"/>
      <c r="F178" s="41" t="str">
        <f aca="false">IF(OR(B178="",E178=""),"",E178-D178)</f>
        <v/>
      </c>
      <c r="G178" s="42" t="str">
        <f aca="false">IF(F178="","",IF(F178&gt;0,"زيادة",IF(F178&lt;0,"عجز","مطابق")))</f>
        <v/>
      </c>
      <c r="H178" s="43" t="str">
        <f aca="false">IF(B178="","",المخزن!H178)</f>
        <v/>
      </c>
      <c r="I178" s="44" t="str">
        <f aca="false">IF(F178="","",F178*H178)</f>
        <v/>
      </c>
      <c r="J178" s="22"/>
    </row>
    <row r="179" customFormat="false" ht="15" hidden="false" customHeight="true" outlineLevel="0" collapsed="false">
      <c r="A179" s="36" t="str">
        <f aca="false">IF(B179="","",ROW()-1)</f>
        <v/>
      </c>
      <c r="B179" s="37" t="str">
        <f aca="false">IF(المخزن!B179="","",المخزن!B179)</f>
        <v/>
      </c>
      <c r="C179" s="38" t="str">
        <f aca="false">IF(B179="","",المخزن!C179)</f>
        <v/>
      </c>
      <c r="D179" s="39" t="str">
        <f aca="false">IF($B179="","",المخزن!G179)</f>
        <v/>
      </c>
      <c r="E179" s="40"/>
      <c r="F179" s="41" t="str">
        <f aca="false">IF(OR(B179="",E179=""),"",E179-D179)</f>
        <v/>
      </c>
      <c r="G179" s="42" t="str">
        <f aca="false">IF(F179="","",IF(F179&gt;0,"زيادة",IF(F179&lt;0,"عجز","مطابق")))</f>
        <v/>
      </c>
      <c r="H179" s="43" t="str">
        <f aca="false">IF(B179="","",المخزن!H179)</f>
        <v/>
      </c>
      <c r="I179" s="44" t="str">
        <f aca="false">IF(F179="","",F179*H179)</f>
        <v/>
      </c>
      <c r="J179" s="22"/>
    </row>
    <row r="180" customFormat="false" ht="15" hidden="false" customHeight="true" outlineLevel="0" collapsed="false">
      <c r="A180" s="36" t="str">
        <f aca="false">IF(B180="","",ROW()-1)</f>
        <v/>
      </c>
      <c r="B180" s="37" t="str">
        <f aca="false">IF(المخزن!B180="","",المخزن!B180)</f>
        <v/>
      </c>
      <c r="C180" s="38" t="str">
        <f aca="false">IF(B180="","",المخزن!C180)</f>
        <v/>
      </c>
      <c r="D180" s="39" t="str">
        <f aca="false">IF($B180="","",المخزن!G180)</f>
        <v/>
      </c>
      <c r="E180" s="40"/>
      <c r="F180" s="41" t="str">
        <f aca="false">IF(OR(B180="",E180=""),"",E180-D180)</f>
        <v/>
      </c>
      <c r="G180" s="42" t="str">
        <f aca="false">IF(F180="","",IF(F180&gt;0,"زيادة",IF(F180&lt;0,"عجز","مطابق")))</f>
        <v/>
      </c>
      <c r="H180" s="43" t="str">
        <f aca="false">IF(B180="","",المخزن!H180)</f>
        <v/>
      </c>
      <c r="I180" s="44" t="str">
        <f aca="false">IF(F180="","",F180*H180)</f>
        <v/>
      </c>
      <c r="J180" s="22"/>
    </row>
    <row r="181" customFormat="false" ht="15" hidden="false" customHeight="true" outlineLevel="0" collapsed="false">
      <c r="A181" s="36" t="str">
        <f aca="false">IF(B181="","",ROW()-1)</f>
        <v/>
      </c>
      <c r="B181" s="37" t="str">
        <f aca="false">IF(المخزن!B181="","",المخزن!B181)</f>
        <v/>
      </c>
      <c r="C181" s="38" t="str">
        <f aca="false">IF(B181="","",المخزن!C181)</f>
        <v/>
      </c>
      <c r="D181" s="39" t="str">
        <f aca="false">IF($B181="","",المخزن!G181)</f>
        <v/>
      </c>
      <c r="E181" s="40"/>
      <c r="F181" s="41" t="str">
        <f aca="false">IF(OR(B181="",E181=""),"",E181-D181)</f>
        <v/>
      </c>
      <c r="G181" s="42" t="str">
        <f aca="false">IF(F181="","",IF(F181&gt;0,"زيادة",IF(F181&lt;0,"عجز","مطابق")))</f>
        <v/>
      </c>
      <c r="H181" s="43" t="str">
        <f aca="false">IF(B181="","",المخزن!H181)</f>
        <v/>
      </c>
      <c r="I181" s="44" t="str">
        <f aca="false">IF(F181="","",F181*H181)</f>
        <v/>
      </c>
      <c r="J181" s="22"/>
    </row>
    <row r="182" customFormat="false" ht="15" hidden="false" customHeight="true" outlineLevel="0" collapsed="false">
      <c r="A182" s="36" t="str">
        <f aca="false">IF(B182="","",ROW()-1)</f>
        <v/>
      </c>
      <c r="B182" s="37" t="str">
        <f aca="false">IF(المخزن!B182="","",المخزن!B182)</f>
        <v/>
      </c>
      <c r="C182" s="38" t="str">
        <f aca="false">IF(B182="","",المخزن!C182)</f>
        <v/>
      </c>
      <c r="D182" s="39" t="str">
        <f aca="false">IF($B182="","",المخزن!G182)</f>
        <v/>
      </c>
      <c r="E182" s="40"/>
      <c r="F182" s="41" t="str">
        <f aca="false">IF(OR(B182="",E182=""),"",E182-D182)</f>
        <v/>
      </c>
      <c r="G182" s="42" t="str">
        <f aca="false">IF(F182="","",IF(F182&gt;0,"زيادة",IF(F182&lt;0,"عجز","مطابق")))</f>
        <v/>
      </c>
      <c r="H182" s="43" t="str">
        <f aca="false">IF(B182="","",المخزن!H182)</f>
        <v/>
      </c>
      <c r="I182" s="44" t="str">
        <f aca="false">IF(F182="","",F182*H182)</f>
        <v/>
      </c>
      <c r="J182" s="22"/>
    </row>
    <row r="183" customFormat="false" ht="15" hidden="false" customHeight="true" outlineLevel="0" collapsed="false">
      <c r="A183" s="36" t="str">
        <f aca="false">IF(B183="","",ROW()-1)</f>
        <v/>
      </c>
      <c r="B183" s="37" t="str">
        <f aca="false">IF(المخزن!B183="","",المخزن!B183)</f>
        <v/>
      </c>
      <c r="C183" s="38" t="str">
        <f aca="false">IF(B183="","",المخزن!C183)</f>
        <v/>
      </c>
      <c r="D183" s="39" t="str">
        <f aca="false">IF($B183="","",المخزن!G183)</f>
        <v/>
      </c>
      <c r="E183" s="40"/>
      <c r="F183" s="41" t="str">
        <f aca="false">IF(OR(B183="",E183=""),"",E183-D183)</f>
        <v/>
      </c>
      <c r="G183" s="42" t="str">
        <f aca="false">IF(F183="","",IF(F183&gt;0,"زيادة",IF(F183&lt;0,"عجز","مطابق")))</f>
        <v/>
      </c>
      <c r="H183" s="43" t="str">
        <f aca="false">IF(B183="","",المخزن!H183)</f>
        <v/>
      </c>
      <c r="I183" s="44" t="str">
        <f aca="false">IF(F183="","",F183*H183)</f>
        <v/>
      </c>
      <c r="J183" s="22"/>
    </row>
    <row r="184" customFormat="false" ht="15" hidden="false" customHeight="true" outlineLevel="0" collapsed="false">
      <c r="A184" s="36" t="str">
        <f aca="false">IF(B184="","",ROW()-1)</f>
        <v/>
      </c>
      <c r="B184" s="37" t="str">
        <f aca="false">IF(المخزن!B184="","",المخزن!B184)</f>
        <v/>
      </c>
      <c r="C184" s="38" t="str">
        <f aca="false">IF(B184="","",المخزن!C184)</f>
        <v/>
      </c>
      <c r="D184" s="39" t="str">
        <f aca="false">IF($B184="","",المخزن!G184)</f>
        <v/>
      </c>
      <c r="E184" s="40"/>
      <c r="F184" s="41" t="str">
        <f aca="false">IF(OR(B184="",E184=""),"",E184-D184)</f>
        <v/>
      </c>
      <c r="G184" s="42" t="str">
        <f aca="false">IF(F184="","",IF(F184&gt;0,"زيادة",IF(F184&lt;0,"عجز","مطابق")))</f>
        <v/>
      </c>
      <c r="H184" s="43" t="str">
        <f aca="false">IF(B184="","",المخزن!H184)</f>
        <v/>
      </c>
      <c r="I184" s="44" t="str">
        <f aca="false">IF(F184="","",F184*H184)</f>
        <v/>
      </c>
      <c r="J184" s="22"/>
    </row>
    <row r="185" customFormat="false" ht="15" hidden="false" customHeight="true" outlineLevel="0" collapsed="false">
      <c r="A185" s="36" t="str">
        <f aca="false">IF(B185="","",ROW()-1)</f>
        <v/>
      </c>
      <c r="B185" s="37" t="str">
        <f aca="false">IF(المخزن!B185="","",المخزن!B185)</f>
        <v/>
      </c>
      <c r="C185" s="38" t="str">
        <f aca="false">IF(B185="","",المخزن!C185)</f>
        <v/>
      </c>
      <c r="D185" s="39" t="str">
        <f aca="false">IF($B185="","",المخزن!G185)</f>
        <v/>
      </c>
      <c r="E185" s="40"/>
      <c r="F185" s="41" t="str">
        <f aca="false">IF(OR(B185="",E185=""),"",E185-D185)</f>
        <v/>
      </c>
      <c r="G185" s="42" t="str">
        <f aca="false">IF(F185="","",IF(F185&gt;0,"زيادة",IF(F185&lt;0,"عجز","مطابق")))</f>
        <v/>
      </c>
      <c r="H185" s="43" t="str">
        <f aca="false">IF(B185="","",المخزن!H185)</f>
        <v/>
      </c>
      <c r="I185" s="44" t="str">
        <f aca="false">IF(F185="","",F185*H185)</f>
        <v/>
      </c>
      <c r="J185" s="22"/>
    </row>
    <row r="186" customFormat="false" ht="15" hidden="false" customHeight="true" outlineLevel="0" collapsed="false">
      <c r="A186" s="36" t="str">
        <f aca="false">IF(B186="","",ROW()-1)</f>
        <v/>
      </c>
      <c r="B186" s="37" t="str">
        <f aca="false">IF(المخزن!B186="","",المخزن!B186)</f>
        <v/>
      </c>
      <c r="C186" s="38" t="str">
        <f aca="false">IF(B186="","",المخزن!C186)</f>
        <v/>
      </c>
      <c r="D186" s="39" t="str">
        <f aca="false">IF($B186="","",المخزن!G186)</f>
        <v/>
      </c>
      <c r="E186" s="40"/>
      <c r="F186" s="41" t="str">
        <f aca="false">IF(OR(B186="",E186=""),"",E186-D186)</f>
        <v/>
      </c>
      <c r="G186" s="42" t="str">
        <f aca="false">IF(F186="","",IF(F186&gt;0,"زيادة",IF(F186&lt;0,"عجز","مطابق")))</f>
        <v/>
      </c>
      <c r="H186" s="43" t="str">
        <f aca="false">IF(B186="","",المخزن!H186)</f>
        <v/>
      </c>
      <c r="I186" s="44" t="str">
        <f aca="false">IF(F186="","",F186*H186)</f>
        <v/>
      </c>
      <c r="J186" s="22"/>
    </row>
    <row r="187" customFormat="false" ht="15" hidden="false" customHeight="true" outlineLevel="0" collapsed="false">
      <c r="A187" s="36" t="str">
        <f aca="false">IF(B187="","",ROW()-1)</f>
        <v/>
      </c>
      <c r="B187" s="37" t="str">
        <f aca="false">IF(المخزن!B187="","",المخزن!B187)</f>
        <v/>
      </c>
      <c r="C187" s="38" t="str">
        <f aca="false">IF(B187="","",المخزن!C187)</f>
        <v/>
      </c>
      <c r="D187" s="39" t="str">
        <f aca="false">IF($B187="","",المخزن!G187)</f>
        <v/>
      </c>
      <c r="E187" s="40"/>
      <c r="F187" s="41" t="str">
        <f aca="false">IF(OR(B187="",E187=""),"",E187-D187)</f>
        <v/>
      </c>
      <c r="G187" s="42" t="str">
        <f aca="false">IF(F187="","",IF(F187&gt;0,"زيادة",IF(F187&lt;0,"عجز","مطابق")))</f>
        <v/>
      </c>
      <c r="H187" s="43" t="str">
        <f aca="false">IF(B187="","",المخزن!H187)</f>
        <v/>
      </c>
      <c r="I187" s="44" t="str">
        <f aca="false">IF(F187="","",F187*H187)</f>
        <v/>
      </c>
      <c r="J187" s="22"/>
    </row>
    <row r="188" customFormat="false" ht="15" hidden="false" customHeight="true" outlineLevel="0" collapsed="false">
      <c r="A188" s="36" t="str">
        <f aca="false">IF(B188="","",ROW()-1)</f>
        <v/>
      </c>
      <c r="B188" s="37" t="str">
        <f aca="false">IF(المخزن!B188="","",المخزن!B188)</f>
        <v/>
      </c>
      <c r="C188" s="38" t="str">
        <f aca="false">IF(B188="","",المخزن!C188)</f>
        <v/>
      </c>
      <c r="D188" s="39" t="str">
        <f aca="false">IF($B188="","",المخزن!G188)</f>
        <v/>
      </c>
      <c r="E188" s="40"/>
      <c r="F188" s="41" t="str">
        <f aca="false">IF(OR(B188="",E188=""),"",E188-D188)</f>
        <v/>
      </c>
      <c r="G188" s="42" t="str">
        <f aca="false">IF(F188="","",IF(F188&gt;0,"زيادة",IF(F188&lt;0,"عجز","مطابق")))</f>
        <v/>
      </c>
      <c r="H188" s="43" t="str">
        <f aca="false">IF(B188="","",المخزن!H188)</f>
        <v/>
      </c>
      <c r="I188" s="44" t="str">
        <f aca="false">IF(F188="","",F188*H188)</f>
        <v/>
      </c>
      <c r="J188" s="22"/>
    </row>
    <row r="189" customFormat="false" ht="15" hidden="false" customHeight="true" outlineLevel="0" collapsed="false">
      <c r="A189" s="36" t="str">
        <f aca="false">IF(B189="","",ROW()-1)</f>
        <v/>
      </c>
      <c r="B189" s="37" t="str">
        <f aca="false">IF(المخزن!B189="","",المخزن!B189)</f>
        <v/>
      </c>
      <c r="C189" s="38" t="str">
        <f aca="false">IF(B189="","",المخزن!C189)</f>
        <v/>
      </c>
      <c r="D189" s="39" t="str">
        <f aca="false">IF($B189="","",المخزن!G189)</f>
        <v/>
      </c>
      <c r="E189" s="40"/>
      <c r="F189" s="41" t="str">
        <f aca="false">IF(OR(B189="",E189=""),"",E189-D189)</f>
        <v/>
      </c>
      <c r="G189" s="42" t="str">
        <f aca="false">IF(F189="","",IF(F189&gt;0,"زيادة",IF(F189&lt;0,"عجز","مطابق")))</f>
        <v/>
      </c>
      <c r="H189" s="43" t="str">
        <f aca="false">IF(B189="","",المخزن!H189)</f>
        <v/>
      </c>
      <c r="I189" s="44" t="str">
        <f aca="false">IF(F189="","",F189*H189)</f>
        <v/>
      </c>
      <c r="J189" s="22"/>
    </row>
    <row r="190" customFormat="false" ht="15" hidden="false" customHeight="true" outlineLevel="0" collapsed="false">
      <c r="A190" s="36" t="str">
        <f aca="false">IF(B190="","",ROW()-1)</f>
        <v/>
      </c>
      <c r="B190" s="37" t="str">
        <f aca="false">IF(المخزن!B190="","",المخزن!B190)</f>
        <v/>
      </c>
      <c r="C190" s="38" t="str">
        <f aca="false">IF(B190="","",المخزن!C190)</f>
        <v/>
      </c>
      <c r="D190" s="39" t="str">
        <f aca="false">IF($B190="","",المخزن!G190)</f>
        <v/>
      </c>
      <c r="E190" s="40"/>
      <c r="F190" s="41" t="str">
        <f aca="false">IF(OR(B190="",E190=""),"",E190-D190)</f>
        <v/>
      </c>
      <c r="G190" s="42" t="str">
        <f aca="false">IF(F190="","",IF(F190&gt;0,"زيادة",IF(F190&lt;0,"عجز","مطابق")))</f>
        <v/>
      </c>
      <c r="H190" s="43" t="str">
        <f aca="false">IF(B190="","",المخزن!H190)</f>
        <v/>
      </c>
      <c r="I190" s="44" t="str">
        <f aca="false">IF(F190="","",F190*H190)</f>
        <v/>
      </c>
      <c r="J190" s="22"/>
    </row>
    <row r="191" customFormat="false" ht="15" hidden="false" customHeight="true" outlineLevel="0" collapsed="false">
      <c r="A191" s="36" t="str">
        <f aca="false">IF(B191="","",ROW()-1)</f>
        <v/>
      </c>
      <c r="B191" s="37" t="str">
        <f aca="false">IF(المخزن!B191="","",المخزن!B191)</f>
        <v/>
      </c>
      <c r="C191" s="38" t="str">
        <f aca="false">IF(B191="","",المخزن!C191)</f>
        <v/>
      </c>
      <c r="D191" s="39" t="str">
        <f aca="false">IF($B191="","",المخزن!G191)</f>
        <v/>
      </c>
      <c r="E191" s="40"/>
      <c r="F191" s="41" t="str">
        <f aca="false">IF(OR(B191="",E191=""),"",E191-D191)</f>
        <v/>
      </c>
      <c r="G191" s="42" t="str">
        <f aca="false">IF(F191="","",IF(F191&gt;0,"زيادة",IF(F191&lt;0,"عجز","مطابق")))</f>
        <v/>
      </c>
      <c r="H191" s="43" t="str">
        <f aca="false">IF(B191="","",المخزن!H191)</f>
        <v/>
      </c>
      <c r="I191" s="44" t="str">
        <f aca="false">IF(F191="","",F191*H191)</f>
        <v/>
      </c>
      <c r="J191" s="22"/>
    </row>
    <row r="192" customFormat="false" ht="15" hidden="false" customHeight="true" outlineLevel="0" collapsed="false">
      <c r="A192" s="36" t="str">
        <f aca="false">IF(B192="","",ROW()-1)</f>
        <v/>
      </c>
      <c r="B192" s="37" t="str">
        <f aca="false">IF(المخزن!B192="","",المخزن!B192)</f>
        <v/>
      </c>
      <c r="C192" s="38" t="str">
        <f aca="false">IF(B192="","",المخزن!C192)</f>
        <v/>
      </c>
      <c r="D192" s="39" t="str">
        <f aca="false">IF($B192="","",المخزن!G192)</f>
        <v/>
      </c>
      <c r="E192" s="40"/>
      <c r="F192" s="41" t="str">
        <f aca="false">IF(OR(B192="",E192=""),"",E192-D192)</f>
        <v/>
      </c>
      <c r="G192" s="42" t="str">
        <f aca="false">IF(F192="","",IF(F192&gt;0,"زيادة",IF(F192&lt;0,"عجز","مطابق")))</f>
        <v/>
      </c>
      <c r="H192" s="43" t="str">
        <f aca="false">IF(B192="","",المخزن!H192)</f>
        <v/>
      </c>
      <c r="I192" s="44" t="str">
        <f aca="false">IF(F192="","",F192*H192)</f>
        <v/>
      </c>
      <c r="J192" s="22"/>
    </row>
    <row r="193" customFormat="false" ht="15" hidden="false" customHeight="true" outlineLevel="0" collapsed="false">
      <c r="A193" s="36" t="str">
        <f aca="false">IF(B193="","",ROW()-1)</f>
        <v/>
      </c>
      <c r="B193" s="37" t="str">
        <f aca="false">IF(المخزن!B193="","",المخزن!B193)</f>
        <v/>
      </c>
      <c r="C193" s="38" t="str">
        <f aca="false">IF(B193="","",المخزن!C193)</f>
        <v/>
      </c>
      <c r="D193" s="39" t="str">
        <f aca="false">IF($B193="","",المخزن!G193)</f>
        <v/>
      </c>
      <c r="E193" s="40"/>
      <c r="F193" s="41" t="str">
        <f aca="false">IF(OR(B193="",E193=""),"",E193-D193)</f>
        <v/>
      </c>
      <c r="G193" s="42" t="str">
        <f aca="false">IF(F193="","",IF(F193&gt;0,"زيادة",IF(F193&lt;0,"عجز","مطابق")))</f>
        <v/>
      </c>
      <c r="H193" s="43" t="str">
        <f aca="false">IF(B193="","",المخزن!H193)</f>
        <v/>
      </c>
      <c r="I193" s="44" t="str">
        <f aca="false">IF(F193="","",F193*H193)</f>
        <v/>
      </c>
      <c r="J193" s="22"/>
    </row>
    <row r="194" customFormat="false" ht="15" hidden="false" customHeight="true" outlineLevel="0" collapsed="false">
      <c r="A194" s="36" t="str">
        <f aca="false">IF(B194="","",ROW()-1)</f>
        <v/>
      </c>
      <c r="B194" s="37" t="str">
        <f aca="false">IF(المخزن!B194="","",المخزن!B194)</f>
        <v/>
      </c>
      <c r="C194" s="38" t="str">
        <f aca="false">IF(B194="","",المخزن!C194)</f>
        <v/>
      </c>
      <c r="D194" s="39" t="str">
        <f aca="false">IF($B194="","",المخزن!G194)</f>
        <v/>
      </c>
      <c r="E194" s="40"/>
      <c r="F194" s="41" t="str">
        <f aca="false">IF(OR(B194="",E194=""),"",E194-D194)</f>
        <v/>
      </c>
      <c r="G194" s="42" t="str">
        <f aca="false">IF(F194="","",IF(F194&gt;0,"زيادة",IF(F194&lt;0,"عجز","مطابق")))</f>
        <v/>
      </c>
      <c r="H194" s="43" t="str">
        <f aca="false">IF(B194="","",المخزن!H194)</f>
        <v/>
      </c>
      <c r="I194" s="44" t="str">
        <f aca="false">IF(F194="","",F194*H194)</f>
        <v/>
      </c>
      <c r="J194" s="22"/>
    </row>
    <row r="195" customFormat="false" ht="15" hidden="false" customHeight="true" outlineLevel="0" collapsed="false">
      <c r="A195" s="36" t="str">
        <f aca="false">IF(B195="","",ROW()-1)</f>
        <v/>
      </c>
      <c r="B195" s="37" t="str">
        <f aca="false">IF(المخزن!B195="","",المخزن!B195)</f>
        <v/>
      </c>
      <c r="C195" s="38" t="str">
        <f aca="false">IF(B195="","",المخزن!C195)</f>
        <v/>
      </c>
      <c r="D195" s="39" t="str">
        <f aca="false">IF($B195="","",المخزن!G195)</f>
        <v/>
      </c>
      <c r="E195" s="40"/>
      <c r="F195" s="41" t="str">
        <f aca="false">IF(OR(B195="",E195=""),"",E195-D195)</f>
        <v/>
      </c>
      <c r="G195" s="42" t="str">
        <f aca="false">IF(F195="","",IF(F195&gt;0,"زيادة",IF(F195&lt;0,"عجز","مطابق")))</f>
        <v/>
      </c>
      <c r="H195" s="43" t="str">
        <f aca="false">IF(B195="","",المخزن!H195)</f>
        <v/>
      </c>
      <c r="I195" s="44" t="str">
        <f aca="false">IF(F195="","",F195*H195)</f>
        <v/>
      </c>
      <c r="J195" s="22"/>
    </row>
    <row r="196" customFormat="false" ht="15" hidden="false" customHeight="true" outlineLevel="0" collapsed="false">
      <c r="A196" s="36" t="str">
        <f aca="false">IF(B196="","",ROW()-1)</f>
        <v/>
      </c>
      <c r="B196" s="37" t="str">
        <f aca="false">IF(المخزن!B196="","",المخزن!B196)</f>
        <v/>
      </c>
      <c r="C196" s="38" t="str">
        <f aca="false">IF(B196="","",المخزن!C196)</f>
        <v/>
      </c>
      <c r="D196" s="39" t="str">
        <f aca="false">IF($B196="","",المخزن!G196)</f>
        <v/>
      </c>
      <c r="E196" s="40"/>
      <c r="F196" s="41" t="str">
        <f aca="false">IF(OR(B196="",E196=""),"",E196-D196)</f>
        <v/>
      </c>
      <c r="G196" s="42" t="str">
        <f aca="false">IF(F196="","",IF(F196&gt;0,"زيادة",IF(F196&lt;0,"عجز","مطابق")))</f>
        <v/>
      </c>
      <c r="H196" s="43" t="str">
        <f aca="false">IF(B196="","",المخزن!H196)</f>
        <v/>
      </c>
      <c r="I196" s="44" t="str">
        <f aca="false">IF(F196="","",F196*H196)</f>
        <v/>
      </c>
      <c r="J196" s="22"/>
    </row>
    <row r="197" customFormat="false" ht="15" hidden="false" customHeight="true" outlineLevel="0" collapsed="false">
      <c r="A197" s="36" t="str">
        <f aca="false">IF(B197="","",ROW()-1)</f>
        <v/>
      </c>
      <c r="B197" s="37" t="str">
        <f aca="false">IF(المخزن!B197="","",المخزن!B197)</f>
        <v/>
      </c>
      <c r="C197" s="38" t="str">
        <f aca="false">IF(B197="","",المخزن!C197)</f>
        <v/>
      </c>
      <c r="D197" s="39" t="str">
        <f aca="false">IF($B197="","",المخزن!G197)</f>
        <v/>
      </c>
      <c r="E197" s="40"/>
      <c r="F197" s="41" t="str">
        <f aca="false">IF(OR(B197="",E197=""),"",E197-D197)</f>
        <v/>
      </c>
      <c r="G197" s="42" t="str">
        <f aca="false">IF(F197="","",IF(F197&gt;0,"زيادة",IF(F197&lt;0,"عجز","مطابق")))</f>
        <v/>
      </c>
      <c r="H197" s="43" t="str">
        <f aca="false">IF(B197="","",المخزن!H197)</f>
        <v/>
      </c>
      <c r="I197" s="44" t="str">
        <f aca="false">IF(F197="","",F197*H197)</f>
        <v/>
      </c>
      <c r="J197" s="22"/>
    </row>
    <row r="198" customFormat="false" ht="15" hidden="false" customHeight="true" outlineLevel="0" collapsed="false">
      <c r="A198" s="36" t="str">
        <f aca="false">IF(B198="","",ROW()-1)</f>
        <v/>
      </c>
      <c r="B198" s="37" t="str">
        <f aca="false">IF(المخزن!B198="","",المخزن!B198)</f>
        <v/>
      </c>
      <c r="C198" s="38" t="str">
        <f aca="false">IF(B198="","",المخزن!C198)</f>
        <v/>
      </c>
      <c r="D198" s="39" t="str">
        <f aca="false">IF($B198="","",المخزن!G198)</f>
        <v/>
      </c>
      <c r="E198" s="40"/>
      <c r="F198" s="41" t="str">
        <f aca="false">IF(OR(B198="",E198=""),"",E198-D198)</f>
        <v/>
      </c>
      <c r="G198" s="42" t="str">
        <f aca="false">IF(F198="","",IF(F198&gt;0,"زيادة",IF(F198&lt;0,"عجز","مطابق")))</f>
        <v/>
      </c>
      <c r="H198" s="43" t="str">
        <f aca="false">IF(B198="","",المخزن!H198)</f>
        <v/>
      </c>
      <c r="I198" s="44" t="str">
        <f aca="false">IF(F198="","",F198*H198)</f>
        <v/>
      </c>
      <c r="J198" s="22"/>
    </row>
    <row r="199" customFormat="false" ht="15" hidden="false" customHeight="true" outlineLevel="0" collapsed="false">
      <c r="A199" s="36" t="str">
        <f aca="false">IF(B199="","",ROW()-1)</f>
        <v/>
      </c>
      <c r="B199" s="37" t="str">
        <f aca="false">IF(المخزن!B199="","",المخزن!B199)</f>
        <v/>
      </c>
      <c r="C199" s="38" t="str">
        <f aca="false">IF(B199="","",المخزن!C199)</f>
        <v/>
      </c>
      <c r="D199" s="39" t="str">
        <f aca="false">IF($B199="","",المخزن!G199)</f>
        <v/>
      </c>
      <c r="E199" s="40"/>
      <c r="F199" s="41" t="str">
        <f aca="false">IF(OR(B199="",E199=""),"",E199-D199)</f>
        <v/>
      </c>
      <c r="G199" s="42" t="str">
        <f aca="false">IF(F199="","",IF(F199&gt;0,"زيادة",IF(F199&lt;0,"عجز","مطابق")))</f>
        <v/>
      </c>
      <c r="H199" s="43" t="str">
        <f aca="false">IF(B199="","",المخزن!H199)</f>
        <v/>
      </c>
      <c r="I199" s="44" t="str">
        <f aca="false">IF(F199="","",F199*H199)</f>
        <v/>
      </c>
      <c r="J199" s="22"/>
    </row>
    <row r="200" customFormat="false" ht="15" hidden="false" customHeight="true" outlineLevel="0" collapsed="false">
      <c r="A200" s="36" t="str">
        <f aca="false">IF(B200="","",ROW()-1)</f>
        <v/>
      </c>
      <c r="B200" s="37" t="str">
        <f aca="false">IF(المخزن!B200="","",المخزن!B200)</f>
        <v/>
      </c>
      <c r="C200" s="38" t="str">
        <f aca="false">IF(B200="","",المخزن!C200)</f>
        <v/>
      </c>
      <c r="D200" s="39" t="str">
        <f aca="false">IF($B200="","",المخزن!G200)</f>
        <v/>
      </c>
      <c r="E200" s="40"/>
      <c r="F200" s="41" t="str">
        <f aca="false">IF(OR(B200="",E200=""),"",E200-D200)</f>
        <v/>
      </c>
      <c r="G200" s="42" t="str">
        <f aca="false">IF(F200="","",IF(F200&gt;0,"زيادة",IF(F200&lt;0,"عجز","مطابق")))</f>
        <v/>
      </c>
      <c r="H200" s="43" t="str">
        <f aca="false">IF(B200="","",المخزن!H200)</f>
        <v/>
      </c>
      <c r="I200" s="44" t="str">
        <f aca="false">IF(F200="","",F200*H200)</f>
        <v/>
      </c>
      <c r="J200" s="22"/>
    </row>
    <row r="201" customFormat="false" ht="15" hidden="false" customHeight="true" outlineLevel="0" collapsed="false">
      <c r="A201" s="36" t="str">
        <f aca="false">IF(B201="","",ROW()-1)</f>
        <v/>
      </c>
      <c r="B201" s="37" t="str">
        <f aca="false">IF(المخزن!B201="","",المخزن!B201)</f>
        <v/>
      </c>
      <c r="C201" s="38" t="str">
        <f aca="false">IF(B201="","",المخزن!C201)</f>
        <v/>
      </c>
      <c r="D201" s="39" t="str">
        <f aca="false">IF($B201="","",المخزن!G201)</f>
        <v/>
      </c>
      <c r="E201" s="40"/>
      <c r="F201" s="41" t="str">
        <f aca="false">IF(OR(B201="",E201=""),"",E201-D201)</f>
        <v/>
      </c>
      <c r="G201" s="42" t="str">
        <f aca="false">IF(F201="","",IF(F201&gt;0,"زيادة",IF(F201&lt;0,"عجز","مطابق")))</f>
        <v/>
      </c>
      <c r="H201" s="43" t="str">
        <f aca="false">IF(B201="","",المخزن!H201)</f>
        <v/>
      </c>
      <c r="I201" s="44" t="str">
        <f aca="false">IF(F201="","",F201*H201)</f>
        <v/>
      </c>
      <c r="J201" s="22"/>
    </row>
    <row r="203" customFormat="false" ht="15" hidden="false" customHeight="true" outlineLevel="0" collapsed="false">
      <c r="A203" s="45"/>
      <c r="B203" s="46" t="s">
        <v>109</v>
      </c>
      <c r="C203" s="45"/>
      <c r="D203" s="47" t="n">
        <f aca="false">SUM(D2:D201)</f>
        <v>410</v>
      </c>
      <c r="E203" s="47" t="n">
        <f aca="false">SUM(E2:E201)</f>
        <v>0</v>
      </c>
      <c r="F203" s="47" t="n">
        <f aca="false">SUM(F2:F201)</f>
        <v>0</v>
      </c>
      <c r="G203" s="45"/>
      <c r="H203" s="45"/>
      <c r="I203" s="48" t="n">
        <f aca="false">SUM(I2:I201)</f>
        <v>0</v>
      </c>
      <c r="J203" s="45"/>
    </row>
    <row r="205" customFormat="false" ht="15" hidden="false" customHeight="true" outlineLevel="0" collapsed="false">
      <c r="B205" s="49" t="s">
        <v>117</v>
      </c>
      <c r="D205" s="50" t="n">
        <f aca="false">COUNTIF(G2:G201,"عجز")</f>
        <v>0</v>
      </c>
    </row>
    <row r="206" customFormat="false" ht="15" hidden="false" customHeight="true" outlineLevel="0" collapsed="false">
      <c r="B206" s="49" t="s">
        <v>118</v>
      </c>
      <c r="D206" s="50" t="n">
        <f aca="false">COUNTIF(G2:G201,"زيادة")</f>
        <v>0</v>
      </c>
    </row>
    <row r="207" customFormat="false" ht="15" hidden="false" customHeight="true" outlineLevel="0" collapsed="false">
      <c r="B207" s="49" t="s">
        <v>119</v>
      </c>
      <c r="D207" s="50" t="n">
        <f aca="false">COUNTIF(G2:G201,"مطابق")</f>
        <v>0</v>
      </c>
    </row>
    <row r="209" customFormat="false" ht="45" hidden="false" customHeight="true" outlineLevel="0" collapsed="false">
      <c r="B209" s="51" t="s">
        <v>120</v>
      </c>
      <c r="C209" s="51"/>
      <c r="D209" s="51"/>
      <c r="E209" s="51"/>
      <c r="F209" s="51"/>
      <c r="G209" s="51"/>
      <c r="H209" s="51"/>
      <c r="I209" s="51"/>
      <c r="J209" s="51"/>
    </row>
  </sheetData>
  <mergeCells count="1">
    <mergeCell ref="B209:J209"/>
  </mergeCells>
  <conditionalFormatting sqref="G2:G201">
    <cfRule type="expression" priority="2" aboveAverage="0" equalAverage="0" bottom="0" percent="0" rank="0" text="" dxfId="4">
      <formula>G2="عجز"</formula>
    </cfRule>
    <cfRule type="expression" priority="3" aboveAverage="0" equalAverage="0" bottom="0" percent="0" rank="0" text="" dxfId="5">
      <formula>G2="زيادة"</formula>
    </cfRule>
    <cfRule type="expression" priority="4" aboveAverage="0" equalAverage="0" bottom="0" percent="0" rank="0" text="" dxfId="6">
      <formula>G2="مطابق"</formula>
    </cfRule>
    <cfRule type="expression" priority="5" aboveAverage="0" equalAverage="0" bottom="0" percent="0" rank="0" text="" dxfId="7">
      <formula>G2="عجز"</formula>
    </cfRule>
    <cfRule type="expression" priority="6" aboveAverage="0" equalAverage="0" bottom="0" percent="0" rank="0" text="" dxfId="8">
      <formula>G2="زيادة"</formula>
    </cfRule>
    <cfRule type="expression" priority="7" aboveAverage="0" equalAverage="0" bottom="0" percent="0" rank="0" text="" dxfId="9">
      <formula>G2="مطابق"</formula>
    </cfRule>
  </conditionalFormatting>
  <conditionalFormatting sqref="A2:J201">
    <cfRule type="expression" priority="8" aboveAverage="0" equalAverage="0" bottom="0" percent="0" rank="0" text="" dxfId="10">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I4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18" activeCellId="0" sqref="E118"/>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2" t="s">
        <v>21</v>
      </c>
      <c r="B1" s="52" t="s">
        <v>121</v>
      </c>
      <c r="C1" s="52" t="s">
        <v>22</v>
      </c>
      <c r="D1" s="52" t="s">
        <v>23</v>
      </c>
      <c r="E1" s="52" t="s">
        <v>122</v>
      </c>
      <c r="F1" s="52" t="s">
        <v>123</v>
      </c>
      <c r="G1" s="52" t="s">
        <v>124</v>
      </c>
      <c r="H1" s="52" t="s">
        <v>125</v>
      </c>
      <c r="I1" s="52" t="s">
        <v>126</v>
      </c>
    </row>
    <row r="2" customFormat="false" ht="15" hidden="false" customHeight="true" outlineLevel="0" collapsed="false">
      <c r="A2" s="21" t="str">
        <f aca="false">IF(C2="","",ROW()-1)</f>
        <v/>
      </c>
      <c r="B2" s="53"/>
      <c r="C2" s="22"/>
      <c r="D2" s="54" t="str">
        <f aca="false">IFERROR(VLOOKUP(C2,المخزن!$B$2:$H$201,2,FALSE()),"")</f>
        <v/>
      </c>
      <c r="E2" s="24"/>
      <c r="F2" s="26"/>
      <c r="G2" s="27" t="str">
        <f aca="false">IF(C2="","",E2*F2)</f>
        <v/>
      </c>
      <c r="H2" s="55" t="n">
        <f aca="false">IFERROR(VLOOKUP(C2,المخزن!$B$2:$H$201,7,FALSE()),0)</f>
        <v>0</v>
      </c>
      <c r="I2" s="27" t="str">
        <f aca="false">IF(C2="","",E2*H2)</f>
        <v/>
      </c>
    </row>
    <row r="3" customFormat="false" ht="15" hidden="false" customHeight="true" outlineLevel="0" collapsed="false">
      <c r="A3" s="21" t="str">
        <f aca="false">IF(C3="","",ROW()-1)</f>
        <v/>
      </c>
      <c r="B3" s="53"/>
      <c r="C3" s="22"/>
      <c r="D3" s="54" t="str">
        <f aca="false">IFERROR(VLOOKUP(C3,المخزن!$B$2:$H$201,2,FALSE()),"")</f>
        <v/>
      </c>
      <c r="E3" s="24"/>
      <c r="F3" s="26"/>
      <c r="G3" s="27" t="str">
        <f aca="false">IF(C3="","",E3*F3)</f>
        <v/>
      </c>
      <c r="H3" s="55" t="n">
        <f aca="false">IFERROR(VLOOKUP(C3,المخزن!$B$2:$H$201,7,FALSE()),0)</f>
        <v>0</v>
      </c>
      <c r="I3" s="27" t="str">
        <f aca="false">IF(C3="","",E3*H3)</f>
        <v/>
      </c>
    </row>
    <row r="4" customFormat="false" ht="15" hidden="false" customHeight="true" outlineLevel="0" collapsed="false">
      <c r="A4" s="21" t="str">
        <f aca="false">IF(C4="","",ROW()-1)</f>
        <v/>
      </c>
      <c r="B4" s="53"/>
      <c r="C4" s="22"/>
      <c r="D4" s="54" t="str">
        <f aca="false">IFERROR(VLOOKUP(C4,المخزن!$B$2:$H$201,2,FALSE()),"")</f>
        <v/>
      </c>
      <c r="E4" s="24"/>
      <c r="F4" s="26"/>
      <c r="G4" s="27" t="str">
        <f aca="false">IF(C4="","",E4*F4)</f>
        <v/>
      </c>
      <c r="H4" s="55" t="n">
        <f aca="false">IFERROR(VLOOKUP(C4,المخزن!$B$2:$H$201,7,FALSE()),0)</f>
        <v>0</v>
      </c>
      <c r="I4" s="27" t="str">
        <f aca="false">IF(C4="","",E4*H4)</f>
        <v/>
      </c>
    </row>
    <row r="5" customFormat="false" ht="15" hidden="false" customHeight="true" outlineLevel="0" collapsed="false">
      <c r="A5" s="21" t="str">
        <f aca="false">IF(C5="","",ROW()-1)</f>
        <v/>
      </c>
      <c r="B5" s="53"/>
      <c r="C5" s="22"/>
      <c r="D5" s="54" t="str">
        <f aca="false">IFERROR(VLOOKUP(C5,المخزن!$B$2:$H$201,2,FALSE()),"")</f>
        <v/>
      </c>
      <c r="E5" s="24"/>
      <c r="F5" s="26"/>
      <c r="G5" s="27" t="str">
        <f aca="false">IF(C5="","",E5*F5)</f>
        <v/>
      </c>
      <c r="H5" s="55" t="n">
        <f aca="false">IFERROR(VLOOKUP(C5,المخزن!$B$2:$H$201,7,FALSE()),0)</f>
        <v>0</v>
      </c>
      <c r="I5" s="27" t="str">
        <f aca="false">IF(C5="","",E5*H5)</f>
        <v/>
      </c>
    </row>
    <row r="6" customFormat="false" ht="15" hidden="false" customHeight="true" outlineLevel="0" collapsed="false">
      <c r="A6" s="21" t="str">
        <f aca="false">IF(C6="","",ROW()-1)</f>
        <v/>
      </c>
      <c r="B6" s="53"/>
      <c r="C6" s="22"/>
      <c r="D6" s="54" t="str">
        <f aca="false">IFERROR(VLOOKUP(C6,المخزن!$B$2:$H$201,2,FALSE()),"")</f>
        <v/>
      </c>
      <c r="E6" s="24"/>
      <c r="F6" s="26"/>
      <c r="G6" s="27" t="str">
        <f aca="false">IF(C6="","",E6*F6)</f>
        <v/>
      </c>
      <c r="H6" s="55" t="n">
        <f aca="false">IFERROR(VLOOKUP(C6,المخزن!$B$2:$H$201,7,FALSE()),0)</f>
        <v>0</v>
      </c>
      <c r="I6" s="27" t="str">
        <f aca="false">IF(C6="","",E6*H6)</f>
        <v/>
      </c>
    </row>
    <row r="7" customFormat="false" ht="15" hidden="false" customHeight="true" outlineLevel="0" collapsed="false">
      <c r="A7" s="21" t="str">
        <f aca="false">IF(C7="","",ROW()-1)</f>
        <v/>
      </c>
      <c r="B7" s="53"/>
      <c r="C7" s="22"/>
      <c r="D7" s="54" t="str">
        <f aca="false">IFERROR(VLOOKUP(C7,المخزن!$B$2:$H$201,2,FALSE()),"")</f>
        <v/>
      </c>
      <c r="E7" s="24"/>
      <c r="F7" s="26"/>
      <c r="G7" s="27" t="str">
        <f aca="false">IF(C7="","",E7*F7)</f>
        <v/>
      </c>
      <c r="H7" s="55" t="n">
        <f aca="false">IFERROR(VLOOKUP(C7,المخزن!$B$2:$H$201,7,FALSE()),0)</f>
        <v>0</v>
      </c>
      <c r="I7" s="27" t="str">
        <f aca="false">IF(C7="","",E7*H7)</f>
        <v/>
      </c>
    </row>
    <row r="8" customFormat="false" ht="15" hidden="false" customHeight="true" outlineLevel="0" collapsed="false">
      <c r="A8" s="21" t="str">
        <f aca="false">IF(C8="","",ROW()-1)</f>
        <v/>
      </c>
      <c r="B8" s="53"/>
      <c r="C8" s="22"/>
      <c r="D8" s="54" t="str">
        <f aca="false">IFERROR(VLOOKUP(C8,المخزن!$B$2:$H$201,2,FALSE()),"")</f>
        <v/>
      </c>
      <c r="E8" s="24"/>
      <c r="F8" s="26"/>
      <c r="G8" s="27" t="str">
        <f aca="false">IF(C8="","",E8*F8)</f>
        <v/>
      </c>
      <c r="H8" s="55" t="n">
        <f aca="false">IFERROR(VLOOKUP(C8,المخزن!$B$2:$H$201,7,FALSE()),0)</f>
        <v>0</v>
      </c>
      <c r="I8" s="27" t="str">
        <f aca="false">IF(C8="","",E8*H8)</f>
        <v/>
      </c>
    </row>
    <row r="9" customFormat="false" ht="15" hidden="false" customHeight="true" outlineLevel="0" collapsed="false">
      <c r="A9" s="21" t="str">
        <f aca="false">IF(C9="","",ROW()-1)</f>
        <v/>
      </c>
      <c r="B9" s="53"/>
      <c r="C9" s="22"/>
      <c r="D9" s="54" t="str">
        <f aca="false">IFERROR(VLOOKUP(C9,المخزن!$B$2:$H$201,2,FALSE()),"")</f>
        <v/>
      </c>
      <c r="E9" s="24"/>
      <c r="F9" s="26"/>
      <c r="G9" s="27" t="str">
        <f aca="false">IF(C9="","",E9*F9)</f>
        <v/>
      </c>
      <c r="H9" s="55" t="n">
        <f aca="false">IFERROR(VLOOKUP(C9,المخزن!$B$2:$H$201,7,FALSE()),0)</f>
        <v>0</v>
      </c>
      <c r="I9" s="27" t="str">
        <f aca="false">IF(C9="","",E9*H9)</f>
        <v/>
      </c>
    </row>
    <row r="10" customFormat="false" ht="15" hidden="false" customHeight="true" outlineLevel="0" collapsed="false">
      <c r="A10" s="21" t="str">
        <f aca="false">IF(C10="","",ROW()-1)</f>
        <v/>
      </c>
      <c r="B10" s="53"/>
      <c r="C10" s="22"/>
      <c r="D10" s="54" t="str">
        <f aca="false">IFERROR(VLOOKUP(C10,المخزن!$B$2:$H$201,2,FALSE()),"")</f>
        <v/>
      </c>
      <c r="E10" s="24"/>
      <c r="F10" s="26"/>
      <c r="G10" s="27" t="str">
        <f aca="false">IF(C10="","",E10*F10)</f>
        <v/>
      </c>
      <c r="H10" s="55" t="n">
        <f aca="false">IFERROR(VLOOKUP(C10,المخزن!$B$2:$H$201,7,FALSE()),0)</f>
        <v>0</v>
      </c>
      <c r="I10" s="27" t="str">
        <f aca="false">IF(C10="","",E10*H10)</f>
        <v/>
      </c>
    </row>
    <row r="11" customFormat="false" ht="15" hidden="false" customHeight="true" outlineLevel="0" collapsed="false">
      <c r="A11" s="21" t="str">
        <f aca="false">IF(C11="","",ROW()-1)</f>
        <v/>
      </c>
      <c r="B11" s="53"/>
      <c r="C11" s="22"/>
      <c r="D11" s="54" t="str">
        <f aca="false">IFERROR(VLOOKUP(C11,المخزن!$B$2:$H$201,2,FALSE()),"")</f>
        <v/>
      </c>
      <c r="E11" s="24"/>
      <c r="F11" s="26"/>
      <c r="G11" s="27" t="str">
        <f aca="false">IF(C11="","",E11*F11)</f>
        <v/>
      </c>
      <c r="H11" s="55" t="n">
        <f aca="false">IFERROR(VLOOKUP(C11,المخزن!$B$2:$H$201,7,FALSE()),0)</f>
        <v>0</v>
      </c>
      <c r="I11" s="27" t="str">
        <f aca="false">IF(C11="","",E11*H11)</f>
        <v/>
      </c>
    </row>
    <row r="12" customFormat="false" ht="15" hidden="false" customHeight="true" outlineLevel="0" collapsed="false">
      <c r="A12" s="21" t="str">
        <f aca="false">IF(C12="","",ROW()-1)</f>
        <v/>
      </c>
      <c r="B12" s="53"/>
      <c r="C12" s="22"/>
      <c r="D12" s="54" t="str">
        <f aca="false">IFERROR(VLOOKUP(C12,المخزن!$B$2:$H$201,2,FALSE()),"")</f>
        <v/>
      </c>
      <c r="E12" s="24"/>
      <c r="F12" s="26"/>
      <c r="G12" s="27" t="str">
        <f aca="false">IF(C12="","",E12*F12)</f>
        <v/>
      </c>
      <c r="H12" s="55" t="n">
        <f aca="false">IFERROR(VLOOKUP(C12,المخزن!$B$2:$H$201,7,FALSE()),0)</f>
        <v>0</v>
      </c>
      <c r="I12" s="27" t="str">
        <f aca="false">IF(C12="","",E12*H12)</f>
        <v/>
      </c>
    </row>
    <row r="13" customFormat="false" ht="15" hidden="false" customHeight="true" outlineLevel="0" collapsed="false">
      <c r="A13" s="21" t="str">
        <f aca="false">IF(C13="","",ROW()-1)</f>
        <v/>
      </c>
      <c r="B13" s="53"/>
      <c r="C13" s="22"/>
      <c r="D13" s="54" t="str">
        <f aca="false">IFERROR(VLOOKUP(C13,المخزن!$B$2:$H$201,2,FALSE()),"")</f>
        <v/>
      </c>
      <c r="E13" s="24"/>
      <c r="F13" s="26"/>
      <c r="G13" s="27" t="str">
        <f aca="false">IF(C13="","",E13*F13)</f>
        <v/>
      </c>
      <c r="H13" s="55" t="n">
        <f aca="false">IFERROR(VLOOKUP(C13,المخزن!$B$2:$H$201,7,FALSE()),0)</f>
        <v>0</v>
      </c>
      <c r="I13" s="27" t="str">
        <f aca="false">IF(C13="","",E13*H13)</f>
        <v/>
      </c>
    </row>
    <row r="14" customFormat="false" ht="15" hidden="false" customHeight="true" outlineLevel="0" collapsed="false">
      <c r="A14" s="21" t="str">
        <f aca="false">IF(C14="","",ROW()-1)</f>
        <v/>
      </c>
      <c r="B14" s="53"/>
      <c r="C14" s="22"/>
      <c r="D14" s="54" t="str">
        <f aca="false">IFERROR(VLOOKUP(C14,المخزن!$B$2:$H$201,2,FALSE()),"")</f>
        <v/>
      </c>
      <c r="E14" s="24"/>
      <c r="F14" s="26"/>
      <c r="G14" s="27" t="str">
        <f aca="false">IF(C14="","",E14*F14)</f>
        <v/>
      </c>
      <c r="H14" s="55" t="n">
        <f aca="false">IFERROR(VLOOKUP(C14,المخزن!$B$2:$H$201,7,FALSE()),0)</f>
        <v>0</v>
      </c>
      <c r="I14" s="27" t="str">
        <f aca="false">IF(C14="","",E14*H14)</f>
        <v/>
      </c>
    </row>
    <row r="15" customFormat="false" ht="15" hidden="false" customHeight="true" outlineLevel="0" collapsed="false">
      <c r="A15" s="21" t="str">
        <f aca="false">IF(C15="","",ROW()-1)</f>
        <v/>
      </c>
      <c r="B15" s="53"/>
      <c r="C15" s="22"/>
      <c r="D15" s="54" t="str">
        <f aca="false">IFERROR(VLOOKUP(C15,المخزن!$B$2:$H$201,2,FALSE()),"")</f>
        <v/>
      </c>
      <c r="E15" s="24"/>
      <c r="F15" s="26"/>
      <c r="G15" s="27" t="str">
        <f aca="false">IF(C15="","",E15*F15)</f>
        <v/>
      </c>
      <c r="H15" s="55" t="n">
        <f aca="false">IFERROR(VLOOKUP(C15,المخزن!$B$2:$H$201,7,FALSE()),0)</f>
        <v>0</v>
      </c>
      <c r="I15" s="27" t="str">
        <f aca="false">IF(C15="","",E15*H15)</f>
        <v/>
      </c>
    </row>
    <row r="16" customFormat="false" ht="15" hidden="false" customHeight="true" outlineLevel="0" collapsed="false">
      <c r="A16" s="21" t="str">
        <f aca="false">IF(C16="","",ROW()-1)</f>
        <v/>
      </c>
      <c r="B16" s="53"/>
      <c r="C16" s="22"/>
      <c r="D16" s="54" t="str">
        <f aca="false">IFERROR(VLOOKUP(C16,المخزن!$B$2:$H$201,2,FALSE()),"")</f>
        <v/>
      </c>
      <c r="E16" s="24"/>
      <c r="F16" s="26"/>
      <c r="G16" s="27" t="str">
        <f aca="false">IF(C16="","",E16*F16)</f>
        <v/>
      </c>
      <c r="H16" s="55" t="n">
        <f aca="false">IFERROR(VLOOKUP(C16,المخزن!$B$2:$H$201,7,FALSE()),0)</f>
        <v>0</v>
      </c>
      <c r="I16" s="27" t="str">
        <f aca="false">IF(C16="","",E16*H16)</f>
        <v/>
      </c>
    </row>
    <row r="17" customFormat="false" ht="15" hidden="false" customHeight="true" outlineLevel="0" collapsed="false">
      <c r="A17" s="21" t="str">
        <f aca="false">IF(C17="","",ROW()-1)</f>
        <v/>
      </c>
      <c r="B17" s="53"/>
      <c r="C17" s="22"/>
      <c r="D17" s="54" t="str">
        <f aca="false">IFERROR(VLOOKUP(C17,المخزن!$B$2:$H$201,2,FALSE()),"")</f>
        <v/>
      </c>
      <c r="E17" s="24"/>
      <c r="F17" s="26"/>
      <c r="G17" s="27" t="str">
        <f aca="false">IF(C17="","",E17*F17)</f>
        <v/>
      </c>
      <c r="H17" s="55" t="n">
        <f aca="false">IFERROR(VLOOKUP(C17,المخزن!$B$2:$H$201,7,FALSE()),0)</f>
        <v>0</v>
      </c>
      <c r="I17" s="27" t="str">
        <f aca="false">IF(C17="","",E17*H17)</f>
        <v/>
      </c>
    </row>
    <row r="18" customFormat="false" ht="15" hidden="false" customHeight="true" outlineLevel="0" collapsed="false">
      <c r="A18" s="21" t="str">
        <f aca="false">IF(C18="","",ROW()-1)</f>
        <v/>
      </c>
      <c r="B18" s="53"/>
      <c r="C18" s="22"/>
      <c r="D18" s="54" t="str">
        <f aca="false">IFERROR(VLOOKUP(C18,المخزن!$B$2:$H$201,2,FALSE()),"")</f>
        <v/>
      </c>
      <c r="E18" s="24"/>
      <c r="F18" s="26"/>
      <c r="G18" s="27" t="str">
        <f aca="false">IF(C18="","",E18*F18)</f>
        <v/>
      </c>
      <c r="H18" s="55" t="n">
        <f aca="false">IFERROR(VLOOKUP(C18,المخزن!$B$2:$H$201,7,FALSE()),0)</f>
        <v>0</v>
      </c>
      <c r="I18" s="27" t="str">
        <f aca="false">IF(C18="","",E18*H18)</f>
        <v/>
      </c>
    </row>
    <row r="19" customFormat="false" ht="15" hidden="false" customHeight="true" outlineLevel="0" collapsed="false">
      <c r="A19" s="21" t="str">
        <f aca="false">IF(C19="","",ROW()-1)</f>
        <v/>
      </c>
      <c r="B19" s="53"/>
      <c r="C19" s="22"/>
      <c r="D19" s="54" t="str">
        <f aca="false">IFERROR(VLOOKUP(C19,المخزن!$B$2:$H$201,2,FALSE()),"")</f>
        <v/>
      </c>
      <c r="E19" s="24"/>
      <c r="F19" s="26"/>
      <c r="G19" s="27" t="str">
        <f aca="false">IF(C19="","",E19*F19)</f>
        <v/>
      </c>
      <c r="H19" s="55" t="n">
        <f aca="false">IFERROR(VLOOKUP(C19,المخزن!$B$2:$H$201,7,FALSE()),0)</f>
        <v>0</v>
      </c>
      <c r="I19" s="27" t="str">
        <f aca="false">IF(C19="","",E19*H19)</f>
        <v/>
      </c>
    </row>
    <row r="20" customFormat="false" ht="15" hidden="false" customHeight="true" outlineLevel="0" collapsed="false">
      <c r="A20" s="21" t="str">
        <f aca="false">IF(C20="","",ROW()-1)</f>
        <v/>
      </c>
      <c r="B20" s="53"/>
      <c r="C20" s="22"/>
      <c r="D20" s="54" t="str">
        <f aca="false">IFERROR(VLOOKUP(C20,المخزن!$B$2:$H$201,2,FALSE()),"")</f>
        <v/>
      </c>
      <c r="E20" s="24"/>
      <c r="F20" s="26"/>
      <c r="G20" s="27" t="str">
        <f aca="false">IF(C20="","",E20*F20)</f>
        <v/>
      </c>
      <c r="H20" s="55" t="n">
        <f aca="false">IFERROR(VLOOKUP(C20,المخزن!$B$2:$H$201,7,FALSE()),0)</f>
        <v>0</v>
      </c>
      <c r="I20" s="27" t="str">
        <f aca="false">IF(C20="","",E20*H20)</f>
        <v/>
      </c>
    </row>
    <row r="21" customFormat="false" ht="15" hidden="false" customHeight="true" outlineLevel="0" collapsed="false">
      <c r="A21" s="21" t="str">
        <f aca="false">IF(C21="","",ROW()-1)</f>
        <v/>
      </c>
      <c r="B21" s="53"/>
      <c r="C21" s="22"/>
      <c r="D21" s="54" t="str">
        <f aca="false">IFERROR(VLOOKUP(C21,المخزن!$B$2:$H$201,2,FALSE()),"")</f>
        <v/>
      </c>
      <c r="E21" s="24"/>
      <c r="F21" s="26"/>
      <c r="G21" s="27" t="str">
        <f aca="false">IF(C21="","",E21*F21)</f>
        <v/>
      </c>
      <c r="H21" s="55" t="n">
        <f aca="false">IFERROR(VLOOKUP(C21,المخزن!$B$2:$H$201,7,FALSE()),0)</f>
        <v>0</v>
      </c>
      <c r="I21" s="27" t="str">
        <f aca="false">IF(C21="","",E21*H21)</f>
        <v/>
      </c>
    </row>
    <row r="22" customFormat="false" ht="15" hidden="false" customHeight="true" outlineLevel="0" collapsed="false">
      <c r="A22" s="21" t="str">
        <f aca="false">IF(C22="","",ROW()-1)</f>
        <v/>
      </c>
      <c r="B22" s="53"/>
      <c r="C22" s="22"/>
      <c r="D22" s="54" t="str">
        <f aca="false">IFERROR(VLOOKUP(C22,المخزن!$B$2:$H$201,2,FALSE()),"")</f>
        <v/>
      </c>
      <c r="E22" s="24"/>
      <c r="F22" s="26"/>
      <c r="G22" s="27" t="str">
        <f aca="false">IF(C22="","",E22*F22)</f>
        <v/>
      </c>
      <c r="H22" s="55" t="n">
        <f aca="false">IFERROR(VLOOKUP(C22,المخزن!$B$2:$H$201,7,FALSE()),0)</f>
        <v>0</v>
      </c>
      <c r="I22" s="27" t="str">
        <f aca="false">IF(C22="","",E22*H22)</f>
        <v/>
      </c>
    </row>
    <row r="23" customFormat="false" ht="15" hidden="false" customHeight="true" outlineLevel="0" collapsed="false">
      <c r="A23" s="21" t="str">
        <f aca="false">IF(C23="","",ROW()-1)</f>
        <v/>
      </c>
      <c r="B23" s="53"/>
      <c r="C23" s="22"/>
      <c r="D23" s="54" t="str">
        <f aca="false">IFERROR(VLOOKUP(C23,المخزن!$B$2:$H$201,2,FALSE()),"")</f>
        <v/>
      </c>
      <c r="E23" s="24"/>
      <c r="F23" s="26"/>
      <c r="G23" s="27" t="str">
        <f aca="false">IF(C23="","",E23*F23)</f>
        <v/>
      </c>
      <c r="H23" s="55" t="n">
        <f aca="false">IFERROR(VLOOKUP(C23,المخزن!$B$2:$H$201,7,FALSE()),0)</f>
        <v>0</v>
      </c>
      <c r="I23" s="27" t="str">
        <f aca="false">IF(C23="","",E23*H23)</f>
        <v/>
      </c>
    </row>
    <row r="24" customFormat="false" ht="15" hidden="false" customHeight="true" outlineLevel="0" collapsed="false">
      <c r="A24" s="21" t="str">
        <f aca="false">IF(C24="","",ROW()-1)</f>
        <v/>
      </c>
      <c r="B24" s="53"/>
      <c r="C24" s="22"/>
      <c r="D24" s="54" t="str">
        <f aca="false">IFERROR(VLOOKUP(C24,المخزن!$B$2:$H$201,2,FALSE()),"")</f>
        <v/>
      </c>
      <c r="E24" s="24"/>
      <c r="F24" s="26"/>
      <c r="G24" s="27" t="str">
        <f aca="false">IF(C24="","",E24*F24)</f>
        <v/>
      </c>
      <c r="H24" s="55" t="n">
        <f aca="false">IFERROR(VLOOKUP(C24,المخزن!$B$2:$H$201,7,FALSE()),0)</f>
        <v>0</v>
      </c>
      <c r="I24" s="27" t="str">
        <f aca="false">IF(C24="","",E24*H24)</f>
        <v/>
      </c>
    </row>
    <row r="25" customFormat="false" ht="15" hidden="false" customHeight="true" outlineLevel="0" collapsed="false">
      <c r="A25" s="21" t="str">
        <f aca="false">IF(C25="","",ROW()-1)</f>
        <v/>
      </c>
      <c r="B25" s="53"/>
      <c r="C25" s="22"/>
      <c r="D25" s="54" t="str">
        <f aca="false">IFERROR(VLOOKUP(C25,المخزن!$B$2:$H$201,2,FALSE()),"")</f>
        <v/>
      </c>
      <c r="E25" s="24"/>
      <c r="F25" s="26"/>
      <c r="G25" s="27" t="str">
        <f aca="false">IF(C25="","",E25*F25)</f>
        <v/>
      </c>
      <c r="H25" s="55" t="n">
        <f aca="false">IFERROR(VLOOKUP(C25,المخزن!$B$2:$H$201,7,FALSE()),0)</f>
        <v>0</v>
      </c>
      <c r="I25" s="27" t="str">
        <f aca="false">IF(C25="","",E25*H25)</f>
        <v/>
      </c>
    </row>
    <row r="26" customFormat="false" ht="15" hidden="false" customHeight="true" outlineLevel="0" collapsed="false">
      <c r="A26" s="21" t="str">
        <f aca="false">IF(C26="","",ROW()-1)</f>
        <v/>
      </c>
      <c r="B26" s="53"/>
      <c r="C26" s="22"/>
      <c r="D26" s="54" t="str">
        <f aca="false">IFERROR(VLOOKUP(C26,المخزن!$B$2:$H$201,2,FALSE()),"")</f>
        <v/>
      </c>
      <c r="E26" s="24"/>
      <c r="F26" s="26"/>
      <c r="G26" s="27" t="str">
        <f aca="false">IF(C26="","",E26*F26)</f>
        <v/>
      </c>
      <c r="H26" s="55" t="n">
        <f aca="false">IFERROR(VLOOKUP(C26,المخزن!$B$2:$H$201,7,FALSE()),0)</f>
        <v>0</v>
      </c>
      <c r="I26" s="27" t="str">
        <f aca="false">IF(C26="","",E26*H26)</f>
        <v/>
      </c>
    </row>
    <row r="27" customFormat="false" ht="15" hidden="false" customHeight="true" outlineLevel="0" collapsed="false">
      <c r="A27" s="21" t="str">
        <f aca="false">IF(C27="","",ROW()-1)</f>
        <v/>
      </c>
      <c r="B27" s="53"/>
      <c r="C27" s="22"/>
      <c r="D27" s="54" t="str">
        <f aca="false">IFERROR(VLOOKUP(C27,المخزن!$B$2:$H$201,2,FALSE()),"")</f>
        <v/>
      </c>
      <c r="E27" s="24"/>
      <c r="F27" s="26"/>
      <c r="G27" s="27" t="str">
        <f aca="false">IF(C27="","",E27*F27)</f>
        <v/>
      </c>
      <c r="H27" s="55" t="n">
        <f aca="false">IFERROR(VLOOKUP(C27,المخزن!$B$2:$H$201,7,FALSE()),0)</f>
        <v>0</v>
      </c>
      <c r="I27" s="27" t="str">
        <f aca="false">IF(C27="","",E27*H27)</f>
        <v/>
      </c>
    </row>
    <row r="28" customFormat="false" ht="15" hidden="false" customHeight="true" outlineLevel="0" collapsed="false">
      <c r="A28" s="21" t="str">
        <f aca="false">IF(C28="","",ROW()-1)</f>
        <v/>
      </c>
      <c r="B28" s="53"/>
      <c r="C28" s="22"/>
      <c r="D28" s="54" t="str">
        <f aca="false">IFERROR(VLOOKUP(C28,المخزن!$B$2:$H$201,2,FALSE()),"")</f>
        <v/>
      </c>
      <c r="E28" s="24"/>
      <c r="F28" s="26"/>
      <c r="G28" s="27" t="str">
        <f aca="false">IF(C28="","",E28*F28)</f>
        <v/>
      </c>
      <c r="H28" s="55" t="n">
        <f aca="false">IFERROR(VLOOKUP(C28,المخزن!$B$2:$H$201,7,FALSE()),0)</f>
        <v>0</v>
      </c>
      <c r="I28" s="27" t="str">
        <f aca="false">IF(C28="","",E28*H28)</f>
        <v/>
      </c>
    </row>
    <row r="29" customFormat="false" ht="15" hidden="false" customHeight="true" outlineLevel="0" collapsed="false">
      <c r="A29" s="21" t="str">
        <f aca="false">IF(C29="","",ROW()-1)</f>
        <v/>
      </c>
      <c r="B29" s="53"/>
      <c r="C29" s="22"/>
      <c r="D29" s="54" t="str">
        <f aca="false">IFERROR(VLOOKUP(C29,المخزن!$B$2:$H$201,2,FALSE()),"")</f>
        <v/>
      </c>
      <c r="E29" s="24"/>
      <c r="F29" s="26"/>
      <c r="G29" s="27" t="str">
        <f aca="false">IF(C29="","",E29*F29)</f>
        <v/>
      </c>
      <c r="H29" s="55" t="n">
        <f aca="false">IFERROR(VLOOKUP(C29,المخزن!$B$2:$H$201,7,FALSE()),0)</f>
        <v>0</v>
      </c>
      <c r="I29" s="27" t="str">
        <f aca="false">IF(C29="","",E29*H29)</f>
        <v/>
      </c>
    </row>
    <row r="30" customFormat="false" ht="15" hidden="false" customHeight="true" outlineLevel="0" collapsed="false">
      <c r="A30" s="21" t="str">
        <f aca="false">IF(C30="","",ROW()-1)</f>
        <v/>
      </c>
      <c r="B30" s="53"/>
      <c r="C30" s="22"/>
      <c r="D30" s="54" t="str">
        <f aca="false">IFERROR(VLOOKUP(C30,المخزن!$B$2:$H$201,2,FALSE()),"")</f>
        <v/>
      </c>
      <c r="E30" s="24"/>
      <c r="F30" s="26"/>
      <c r="G30" s="27" t="str">
        <f aca="false">IF(C30="","",E30*F30)</f>
        <v/>
      </c>
      <c r="H30" s="55" t="n">
        <f aca="false">IFERROR(VLOOKUP(C30,المخزن!$B$2:$H$201,7,FALSE()),0)</f>
        <v>0</v>
      </c>
      <c r="I30" s="27" t="str">
        <f aca="false">IF(C30="","",E30*H30)</f>
        <v/>
      </c>
    </row>
    <row r="31" customFormat="false" ht="15" hidden="false" customHeight="true" outlineLevel="0" collapsed="false">
      <c r="A31" s="21" t="str">
        <f aca="false">IF(C31="","",ROW()-1)</f>
        <v/>
      </c>
      <c r="B31" s="53"/>
      <c r="C31" s="22"/>
      <c r="D31" s="54" t="str">
        <f aca="false">IFERROR(VLOOKUP(C31,المخزن!$B$2:$H$201,2,FALSE()),"")</f>
        <v/>
      </c>
      <c r="E31" s="24"/>
      <c r="F31" s="26"/>
      <c r="G31" s="27" t="str">
        <f aca="false">IF(C31="","",E31*F31)</f>
        <v/>
      </c>
      <c r="H31" s="55" t="n">
        <f aca="false">IFERROR(VLOOKUP(C31,المخزن!$B$2:$H$201,7,FALSE()),0)</f>
        <v>0</v>
      </c>
      <c r="I31" s="27" t="str">
        <f aca="false">IF(C31="","",E31*H31)</f>
        <v/>
      </c>
    </row>
    <row r="32" customFormat="false" ht="15" hidden="false" customHeight="true" outlineLevel="0" collapsed="false">
      <c r="A32" s="21" t="str">
        <f aca="false">IF(C32="","",ROW()-1)</f>
        <v/>
      </c>
      <c r="B32" s="53"/>
      <c r="C32" s="22"/>
      <c r="D32" s="54" t="str">
        <f aca="false">IFERROR(VLOOKUP(C32,المخزن!$B$2:$H$201,2,FALSE()),"")</f>
        <v/>
      </c>
      <c r="E32" s="24"/>
      <c r="F32" s="26"/>
      <c r="G32" s="27" t="str">
        <f aca="false">IF(C32="","",E32*F32)</f>
        <v/>
      </c>
      <c r="H32" s="55" t="n">
        <f aca="false">IFERROR(VLOOKUP(C32,المخزن!$B$2:$H$201,7,FALSE()),0)</f>
        <v>0</v>
      </c>
      <c r="I32" s="27" t="str">
        <f aca="false">IF(C32="","",E32*H32)</f>
        <v/>
      </c>
    </row>
    <row r="33" customFormat="false" ht="15" hidden="false" customHeight="true" outlineLevel="0" collapsed="false">
      <c r="A33" s="21" t="str">
        <f aca="false">IF(C33="","",ROW()-1)</f>
        <v/>
      </c>
      <c r="B33" s="53"/>
      <c r="C33" s="22"/>
      <c r="D33" s="54" t="str">
        <f aca="false">IFERROR(VLOOKUP(C33,المخزن!$B$2:$H$201,2,FALSE()),"")</f>
        <v/>
      </c>
      <c r="E33" s="24"/>
      <c r="F33" s="26"/>
      <c r="G33" s="27" t="str">
        <f aca="false">IF(C33="","",E33*F33)</f>
        <v/>
      </c>
      <c r="H33" s="55" t="n">
        <f aca="false">IFERROR(VLOOKUP(C33,المخزن!$B$2:$H$201,7,FALSE()),0)</f>
        <v>0</v>
      </c>
      <c r="I33" s="27" t="str">
        <f aca="false">IF(C33="","",E33*H33)</f>
        <v/>
      </c>
    </row>
    <row r="34" customFormat="false" ht="15" hidden="false" customHeight="true" outlineLevel="0" collapsed="false">
      <c r="A34" s="21" t="str">
        <f aca="false">IF(C34="","",ROW()-1)</f>
        <v/>
      </c>
      <c r="B34" s="53"/>
      <c r="C34" s="22"/>
      <c r="D34" s="54" t="str">
        <f aca="false">IFERROR(VLOOKUP(C34,المخزن!$B$2:$H$201,2,FALSE()),"")</f>
        <v/>
      </c>
      <c r="E34" s="24"/>
      <c r="F34" s="26"/>
      <c r="G34" s="27" t="str">
        <f aca="false">IF(C34="","",E34*F34)</f>
        <v/>
      </c>
      <c r="H34" s="55" t="n">
        <f aca="false">IFERROR(VLOOKUP(C34,المخزن!$B$2:$H$201,7,FALSE()),0)</f>
        <v>0</v>
      </c>
      <c r="I34" s="27" t="str">
        <f aca="false">IF(C34="","",E34*H34)</f>
        <v/>
      </c>
    </row>
    <row r="35" customFormat="false" ht="15" hidden="false" customHeight="true" outlineLevel="0" collapsed="false">
      <c r="A35" s="21" t="str">
        <f aca="false">IF(C35="","",ROW()-1)</f>
        <v/>
      </c>
      <c r="B35" s="53"/>
      <c r="C35" s="22"/>
      <c r="D35" s="54" t="str">
        <f aca="false">IFERROR(VLOOKUP(C35,المخزن!$B$2:$H$201,2,FALSE()),"")</f>
        <v/>
      </c>
      <c r="E35" s="24"/>
      <c r="F35" s="26"/>
      <c r="G35" s="27" t="str">
        <f aca="false">IF(C35="","",E35*F35)</f>
        <v/>
      </c>
      <c r="H35" s="55" t="n">
        <f aca="false">IFERROR(VLOOKUP(C35,المخزن!$B$2:$H$201,7,FALSE()),0)</f>
        <v>0</v>
      </c>
      <c r="I35" s="27" t="str">
        <f aca="false">IF(C35="","",E35*H35)</f>
        <v/>
      </c>
    </row>
    <row r="36" customFormat="false" ht="15" hidden="false" customHeight="true" outlineLevel="0" collapsed="false">
      <c r="A36" s="21" t="str">
        <f aca="false">IF(C36="","",ROW()-1)</f>
        <v/>
      </c>
      <c r="B36" s="53"/>
      <c r="C36" s="22"/>
      <c r="D36" s="54" t="str">
        <f aca="false">IFERROR(VLOOKUP(C36,المخزن!$B$2:$H$201,2,FALSE()),"")</f>
        <v/>
      </c>
      <c r="E36" s="24"/>
      <c r="F36" s="26"/>
      <c r="G36" s="27" t="str">
        <f aca="false">IF(C36="","",E36*F36)</f>
        <v/>
      </c>
      <c r="H36" s="55" t="n">
        <f aca="false">IFERROR(VLOOKUP(C36,المخزن!$B$2:$H$201,7,FALSE()),0)</f>
        <v>0</v>
      </c>
      <c r="I36" s="27" t="str">
        <f aca="false">IF(C36="","",E36*H36)</f>
        <v/>
      </c>
    </row>
    <row r="37" customFormat="false" ht="15" hidden="false" customHeight="true" outlineLevel="0" collapsed="false">
      <c r="A37" s="21" t="str">
        <f aca="false">IF(C37="","",ROW()-1)</f>
        <v/>
      </c>
      <c r="B37" s="53"/>
      <c r="C37" s="22"/>
      <c r="D37" s="54" t="str">
        <f aca="false">IFERROR(VLOOKUP(C37,المخزن!$B$2:$H$201,2,FALSE()),"")</f>
        <v/>
      </c>
      <c r="E37" s="24"/>
      <c r="F37" s="26"/>
      <c r="G37" s="27" t="str">
        <f aca="false">IF(C37="","",E37*F37)</f>
        <v/>
      </c>
      <c r="H37" s="55" t="n">
        <f aca="false">IFERROR(VLOOKUP(C37,المخزن!$B$2:$H$201,7,FALSE()),0)</f>
        <v>0</v>
      </c>
      <c r="I37" s="27" t="str">
        <f aca="false">IF(C37="","",E37*H37)</f>
        <v/>
      </c>
    </row>
    <row r="38" customFormat="false" ht="15" hidden="false" customHeight="true" outlineLevel="0" collapsed="false">
      <c r="A38" s="21" t="str">
        <f aca="false">IF(C38="","",ROW()-1)</f>
        <v/>
      </c>
      <c r="B38" s="53"/>
      <c r="C38" s="22"/>
      <c r="D38" s="54" t="str">
        <f aca="false">IFERROR(VLOOKUP(C38,المخزن!$B$2:$H$201,2,FALSE()),"")</f>
        <v/>
      </c>
      <c r="E38" s="24"/>
      <c r="F38" s="26"/>
      <c r="G38" s="27" t="str">
        <f aca="false">IF(C38="","",E38*F38)</f>
        <v/>
      </c>
      <c r="H38" s="55" t="n">
        <f aca="false">IFERROR(VLOOKUP(C38,المخزن!$B$2:$H$201,7,FALSE()),0)</f>
        <v>0</v>
      </c>
      <c r="I38" s="27" t="str">
        <f aca="false">IF(C38="","",E38*H38)</f>
        <v/>
      </c>
    </row>
    <row r="39" customFormat="false" ht="15" hidden="false" customHeight="true" outlineLevel="0" collapsed="false">
      <c r="A39" s="21" t="str">
        <f aca="false">IF(C39="","",ROW()-1)</f>
        <v/>
      </c>
      <c r="B39" s="53"/>
      <c r="C39" s="22"/>
      <c r="D39" s="54" t="str">
        <f aca="false">IFERROR(VLOOKUP(C39,المخزن!$B$2:$H$201,2,FALSE()),"")</f>
        <v/>
      </c>
      <c r="E39" s="24"/>
      <c r="F39" s="26"/>
      <c r="G39" s="27" t="str">
        <f aca="false">IF(C39="","",E39*F39)</f>
        <v/>
      </c>
      <c r="H39" s="55" t="n">
        <f aca="false">IFERROR(VLOOKUP(C39,المخزن!$B$2:$H$201,7,FALSE()),0)</f>
        <v>0</v>
      </c>
      <c r="I39" s="27" t="str">
        <f aca="false">IF(C39="","",E39*H39)</f>
        <v/>
      </c>
    </row>
    <row r="40" customFormat="false" ht="15" hidden="false" customHeight="true" outlineLevel="0" collapsed="false">
      <c r="A40" s="21" t="str">
        <f aca="false">IF(C40="","",ROW()-1)</f>
        <v/>
      </c>
      <c r="B40" s="53"/>
      <c r="C40" s="22"/>
      <c r="D40" s="54" t="str">
        <f aca="false">IFERROR(VLOOKUP(C40,المخزن!$B$2:$H$201,2,FALSE()),"")</f>
        <v/>
      </c>
      <c r="E40" s="24"/>
      <c r="F40" s="26"/>
      <c r="G40" s="27" t="str">
        <f aca="false">IF(C40="","",E40*F40)</f>
        <v/>
      </c>
      <c r="H40" s="55" t="n">
        <f aca="false">IFERROR(VLOOKUP(C40,المخزن!$B$2:$H$201,7,FALSE()),0)</f>
        <v>0</v>
      </c>
      <c r="I40" s="27" t="str">
        <f aca="false">IF(C40="","",E40*H40)</f>
        <v/>
      </c>
    </row>
    <row r="41" customFormat="false" ht="15" hidden="false" customHeight="true" outlineLevel="0" collapsed="false">
      <c r="A41" s="21" t="str">
        <f aca="false">IF(C41="","",ROW()-1)</f>
        <v/>
      </c>
      <c r="B41" s="53"/>
      <c r="C41" s="22"/>
      <c r="D41" s="54" t="str">
        <f aca="false">IFERROR(VLOOKUP(C41,المخزن!$B$2:$H$201,2,FALSE()),"")</f>
        <v/>
      </c>
      <c r="E41" s="24"/>
      <c r="F41" s="26"/>
      <c r="G41" s="27" t="str">
        <f aca="false">IF(C41="","",E41*F41)</f>
        <v/>
      </c>
      <c r="H41" s="55" t="n">
        <f aca="false">IFERROR(VLOOKUP(C41,المخزن!$B$2:$H$201,7,FALSE()),0)</f>
        <v>0</v>
      </c>
      <c r="I41" s="27" t="str">
        <f aca="false">IF(C41="","",E41*H41)</f>
        <v/>
      </c>
    </row>
    <row r="42" customFormat="false" ht="15" hidden="false" customHeight="true" outlineLevel="0" collapsed="false">
      <c r="A42" s="21" t="str">
        <f aca="false">IF(C42="","",ROW()-1)</f>
        <v/>
      </c>
      <c r="B42" s="53"/>
      <c r="C42" s="22"/>
      <c r="D42" s="54" t="str">
        <f aca="false">IFERROR(VLOOKUP(C42,المخزن!$B$2:$H$201,2,FALSE()),"")</f>
        <v/>
      </c>
      <c r="E42" s="24"/>
      <c r="F42" s="26"/>
      <c r="G42" s="27" t="str">
        <f aca="false">IF(C42="","",E42*F42)</f>
        <v/>
      </c>
      <c r="H42" s="55" t="n">
        <f aca="false">IFERROR(VLOOKUP(C42,المخزن!$B$2:$H$201,7,FALSE()),0)</f>
        <v>0</v>
      </c>
      <c r="I42" s="27" t="str">
        <f aca="false">IF(C42="","",E42*H42)</f>
        <v/>
      </c>
    </row>
    <row r="43" customFormat="false" ht="15" hidden="false" customHeight="true" outlineLevel="0" collapsed="false">
      <c r="A43" s="21" t="str">
        <f aca="false">IF(C43="","",ROW()-1)</f>
        <v/>
      </c>
      <c r="B43" s="53"/>
      <c r="C43" s="22"/>
      <c r="D43" s="54" t="str">
        <f aca="false">IFERROR(VLOOKUP(C43,المخزن!$B$2:$H$201,2,FALSE()),"")</f>
        <v/>
      </c>
      <c r="E43" s="24"/>
      <c r="F43" s="26"/>
      <c r="G43" s="27" t="str">
        <f aca="false">IF(C43="","",E43*F43)</f>
        <v/>
      </c>
      <c r="H43" s="55" t="n">
        <f aca="false">IFERROR(VLOOKUP(C43,المخزن!$B$2:$H$201,7,FALSE()),0)</f>
        <v>0</v>
      </c>
      <c r="I43" s="27" t="str">
        <f aca="false">IF(C43="","",E43*H43)</f>
        <v/>
      </c>
    </row>
    <row r="44" customFormat="false" ht="15" hidden="false" customHeight="true" outlineLevel="0" collapsed="false">
      <c r="A44" s="21" t="str">
        <f aca="false">IF(C44="","",ROW()-1)</f>
        <v/>
      </c>
      <c r="B44" s="53"/>
      <c r="C44" s="22"/>
      <c r="D44" s="54" t="str">
        <f aca="false">IFERROR(VLOOKUP(C44,المخزن!$B$2:$H$201,2,FALSE()),"")</f>
        <v/>
      </c>
      <c r="E44" s="24"/>
      <c r="F44" s="26"/>
      <c r="G44" s="27" t="str">
        <f aca="false">IF(C44="","",E44*F44)</f>
        <v/>
      </c>
      <c r="H44" s="55" t="n">
        <f aca="false">IFERROR(VLOOKUP(C44,المخزن!$B$2:$H$201,7,FALSE()),0)</f>
        <v>0</v>
      </c>
      <c r="I44" s="27" t="str">
        <f aca="false">IF(C44="","",E44*H44)</f>
        <v/>
      </c>
    </row>
    <row r="45" customFormat="false" ht="15" hidden="false" customHeight="true" outlineLevel="0" collapsed="false">
      <c r="A45" s="21" t="str">
        <f aca="false">IF(C45="","",ROW()-1)</f>
        <v/>
      </c>
      <c r="B45" s="53"/>
      <c r="C45" s="22"/>
      <c r="D45" s="54" t="str">
        <f aca="false">IFERROR(VLOOKUP(C45,المخزن!$B$2:$H$201,2,FALSE()),"")</f>
        <v/>
      </c>
      <c r="E45" s="24"/>
      <c r="F45" s="26"/>
      <c r="G45" s="27" t="str">
        <f aca="false">IF(C45="","",E45*F45)</f>
        <v/>
      </c>
      <c r="H45" s="55" t="n">
        <f aca="false">IFERROR(VLOOKUP(C45,المخزن!$B$2:$H$201,7,FALSE()),0)</f>
        <v>0</v>
      </c>
      <c r="I45" s="27" t="str">
        <f aca="false">IF(C45="","",E45*H45)</f>
        <v/>
      </c>
    </row>
    <row r="46" customFormat="false" ht="15" hidden="false" customHeight="true" outlineLevel="0" collapsed="false">
      <c r="A46" s="21" t="str">
        <f aca="false">IF(C46="","",ROW()-1)</f>
        <v/>
      </c>
      <c r="B46" s="53"/>
      <c r="C46" s="22"/>
      <c r="D46" s="54" t="str">
        <f aca="false">IFERROR(VLOOKUP(C46,المخزن!$B$2:$H$201,2,FALSE()),"")</f>
        <v/>
      </c>
      <c r="E46" s="24"/>
      <c r="F46" s="26"/>
      <c r="G46" s="27" t="str">
        <f aca="false">IF(C46="","",E46*F46)</f>
        <v/>
      </c>
      <c r="H46" s="55" t="n">
        <f aca="false">IFERROR(VLOOKUP(C46,المخزن!$B$2:$H$201,7,FALSE()),0)</f>
        <v>0</v>
      </c>
      <c r="I46" s="27" t="str">
        <f aca="false">IF(C46="","",E46*H46)</f>
        <v/>
      </c>
    </row>
    <row r="47" customFormat="false" ht="15" hidden="false" customHeight="true" outlineLevel="0" collapsed="false">
      <c r="A47" s="21" t="str">
        <f aca="false">IF(C47="","",ROW()-1)</f>
        <v/>
      </c>
      <c r="B47" s="53"/>
      <c r="C47" s="22"/>
      <c r="D47" s="54" t="str">
        <f aca="false">IFERROR(VLOOKUP(C47,المخزن!$B$2:$H$201,2,FALSE()),"")</f>
        <v/>
      </c>
      <c r="E47" s="24"/>
      <c r="F47" s="26"/>
      <c r="G47" s="27" t="str">
        <f aca="false">IF(C47="","",E47*F47)</f>
        <v/>
      </c>
      <c r="H47" s="55" t="n">
        <f aca="false">IFERROR(VLOOKUP(C47,المخزن!$B$2:$H$201,7,FALSE()),0)</f>
        <v>0</v>
      </c>
      <c r="I47" s="27" t="str">
        <f aca="false">IF(C47="","",E47*H47)</f>
        <v/>
      </c>
    </row>
    <row r="48" customFormat="false" ht="15" hidden="false" customHeight="true" outlineLevel="0" collapsed="false">
      <c r="A48" s="21" t="str">
        <f aca="false">IF(C48="","",ROW()-1)</f>
        <v/>
      </c>
      <c r="B48" s="53"/>
      <c r="C48" s="22"/>
      <c r="D48" s="54" t="str">
        <f aca="false">IFERROR(VLOOKUP(C48,المخزن!$B$2:$H$201,2,FALSE()),"")</f>
        <v/>
      </c>
      <c r="E48" s="24"/>
      <c r="F48" s="26"/>
      <c r="G48" s="27" t="str">
        <f aca="false">IF(C48="","",E48*F48)</f>
        <v/>
      </c>
      <c r="H48" s="55" t="n">
        <f aca="false">IFERROR(VLOOKUP(C48,المخزن!$B$2:$H$201,7,FALSE()),0)</f>
        <v>0</v>
      </c>
      <c r="I48" s="27" t="str">
        <f aca="false">IF(C48="","",E48*H48)</f>
        <v/>
      </c>
    </row>
    <row r="49" customFormat="false" ht="15" hidden="false" customHeight="true" outlineLevel="0" collapsed="false">
      <c r="A49" s="21" t="str">
        <f aca="false">IF(C49="","",ROW()-1)</f>
        <v/>
      </c>
      <c r="B49" s="53"/>
      <c r="C49" s="22"/>
      <c r="D49" s="54" t="str">
        <f aca="false">IFERROR(VLOOKUP(C49,المخزن!$B$2:$H$201,2,FALSE()),"")</f>
        <v/>
      </c>
      <c r="E49" s="24"/>
      <c r="F49" s="26"/>
      <c r="G49" s="27" t="str">
        <f aca="false">IF(C49="","",E49*F49)</f>
        <v/>
      </c>
      <c r="H49" s="55" t="n">
        <f aca="false">IFERROR(VLOOKUP(C49,المخزن!$B$2:$H$201,7,FALSE()),0)</f>
        <v>0</v>
      </c>
      <c r="I49" s="27" t="str">
        <f aca="false">IF(C49="","",E49*H49)</f>
        <v/>
      </c>
    </row>
    <row r="50" customFormat="false" ht="15" hidden="false" customHeight="true" outlineLevel="0" collapsed="false">
      <c r="A50" s="21" t="str">
        <f aca="false">IF(C50="","",ROW()-1)</f>
        <v/>
      </c>
      <c r="B50" s="53"/>
      <c r="C50" s="22"/>
      <c r="D50" s="54" t="str">
        <f aca="false">IFERROR(VLOOKUP(C50,المخزن!$B$2:$H$201,2,FALSE()),"")</f>
        <v/>
      </c>
      <c r="E50" s="24"/>
      <c r="F50" s="26"/>
      <c r="G50" s="27" t="str">
        <f aca="false">IF(C50="","",E50*F50)</f>
        <v/>
      </c>
      <c r="H50" s="55" t="n">
        <f aca="false">IFERROR(VLOOKUP(C50,المخزن!$B$2:$H$201,7,FALSE()),0)</f>
        <v>0</v>
      </c>
      <c r="I50" s="27" t="str">
        <f aca="false">IF(C50="","",E50*H50)</f>
        <v/>
      </c>
    </row>
    <row r="51" customFormat="false" ht="15" hidden="false" customHeight="true" outlineLevel="0" collapsed="false">
      <c r="A51" s="21" t="str">
        <f aca="false">IF(C51="","",ROW()-1)</f>
        <v/>
      </c>
      <c r="B51" s="53"/>
      <c r="C51" s="22"/>
      <c r="D51" s="54" t="str">
        <f aca="false">IFERROR(VLOOKUP(C51,المخزن!$B$2:$H$201,2,FALSE()),"")</f>
        <v/>
      </c>
      <c r="E51" s="24"/>
      <c r="F51" s="26"/>
      <c r="G51" s="27" t="str">
        <f aca="false">IF(C51="","",E51*F51)</f>
        <v/>
      </c>
      <c r="H51" s="55" t="n">
        <f aca="false">IFERROR(VLOOKUP(C51,المخزن!$B$2:$H$201,7,FALSE()),0)</f>
        <v>0</v>
      </c>
      <c r="I51" s="27" t="str">
        <f aca="false">IF(C51="","",E51*H51)</f>
        <v/>
      </c>
    </row>
    <row r="52" customFormat="false" ht="15" hidden="false" customHeight="true" outlineLevel="0" collapsed="false">
      <c r="A52" s="21" t="str">
        <f aca="false">IF(C52="","",ROW()-1)</f>
        <v/>
      </c>
      <c r="B52" s="53"/>
      <c r="C52" s="22"/>
      <c r="D52" s="54" t="str">
        <f aca="false">IFERROR(VLOOKUP(C52,المخزن!$B$2:$H$201,2,FALSE()),"")</f>
        <v/>
      </c>
      <c r="E52" s="24"/>
      <c r="F52" s="26"/>
      <c r="G52" s="27" t="str">
        <f aca="false">IF(C52="","",E52*F52)</f>
        <v/>
      </c>
      <c r="H52" s="55" t="n">
        <f aca="false">IFERROR(VLOOKUP(C52,المخزن!$B$2:$H$201,7,FALSE()),0)</f>
        <v>0</v>
      </c>
      <c r="I52" s="27" t="str">
        <f aca="false">IF(C52="","",E52*H52)</f>
        <v/>
      </c>
    </row>
    <row r="53" customFormat="false" ht="15" hidden="false" customHeight="true" outlineLevel="0" collapsed="false">
      <c r="A53" s="21" t="str">
        <f aca="false">IF(C53="","",ROW()-1)</f>
        <v/>
      </c>
      <c r="B53" s="53"/>
      <c r="C53" s="22"/>
      <c r="D53" s="54" t="str">
        <f aca="false">IFERROR(VLOOKUP(C53,المخزن!$B$2:$H$201,2,FALSE()),"")</f>
        <v/>
      </c>
      <c r="E53" s="24"/>
      <c r="F53" s="26"/>
      <c r="G53" s="27" t="str">
        <f aca="false">IF(C53="","",E53*F53)</f>
        <v/>
      </c>
      <c r="H53" s="55" t="n">
        <f aca="false">IFERROR(VLOOKUP(C53,المخزن!$B$2:$H$201,7,FALSE()),0)</f>
        <v>0</v>
      </c>
      <c r="I53" s="27" t="str">
        <f aca="false">IF(C53="","",E53*H53)</f>
        <v/>
      </c>
    </row>
    <row r="54" customFormat="false" ht="15" hidden="false" customHeight="true" outlineLevel="0" collapsed="false">
      <c r="A54" s="21" t="str">
        <f aca="false">IF(C54="","",ROW()-1)</f>
        <v/>
      </c>
      <c r="B54" s="53"/>
      <c r="C54" s="22"/>
      <c r="D54" s="54" t="str">
        <f aca="false">IFERROR(VLOOKUP(C54,المخزن!$B$2:$H$201,2,FALSE()),"")</f>
        <v/>
      </c>
      <c r="E54" s="24"/>
      <c r="F54" s="26"/>
      <c r="G54" s="27" t="str">
        <f aca="false">IF(C54="","",E54*F54)</f>
        <v/>
      </c>
      <c r="H54" s="55" t="n">
        <f aca="false">IFERROR(VLOOKUP(C54,المخزن!$B$2:$H$201,7,FALSE()),0)</f>
        <v>0</v>
      </c>
      <c r="I54" s="27" t="str">
        <f aca="false">IF(C54="","",E54*H54)</f>
        <v/>
      </c>
    </row>
    <row r="55" customFormat="false" ht="15" hidden="false" customHeight="true" outlineLevel="0" collapsed="false">
      <c r="A55" s="21" t="str">
        <f aca="false">IF(C55="","",ROW()-1)</f>
        <v/>
      </c>
      <c r="B55" s="53"/>
      <c r="C55" s="22"/>
      <c r="D55" s="54" t="str">
        <f aca="false">IFERROR(VLOOKUP(C55,المخزن!$B$2:$H$201,2,FALSE()),"")</f>
        <v/>
      </c>
      <c r="E55" s="24"/>
      <c r="F55" s="26"/>
      <c r="G55" s="27" t="str">
        <f aca="false">IF(C55="","",E55*F55)</f>
        <v/>
      </c>
      <c r="H55" s="55" t="n">
        <f aca="false">IFERROR(VLOOKUP(C55,المخزن!$B$2:$H$201,7,FALSE()),0)</f>
        <v>0</v>
      </c>
      <c r="I55" s="27" t="str">
        <f aca="false">IF(C55="","",E55*H55)</f>
        <v/>
      </c>
    </row>
    <row r="56" customFormat="false" ht="15" hidden="false" customHeight="true" outlineLevel="0" collapsed="false">
      <c r="A56" s="21" t="str">
        <f aca="false">IF(C56="","",ROW()-1)</f>
        <v/>
      </c>
      <c r="B56" s="53"/>
      <c r="C56" s="22"/>
      <c r="D56" s="54" t="str">
        <f aca="false">IFERROR(VLOOKUP(C56,المخزن!$B$2:$H$201,2,FALSE()),"")</f>
        <v/>
      </c>
      <c r="E56" s="24"/>
      <c r="F56" s="26"/>
      <c r="G56" s="27" t="str">
        <f aca="false">IF(C56="","",E56*F56)</f>
        <v/>
      </c>
      <c r="H56" s="55" t="n">
        <f aca="false">IFERROR(VLOOKUP(C56,المخزن!$B$2:$H$201,7,FALSE()),0)</f>
        <v>0</v>
      </c>
      <c r="I56" s="27" t="str">
        <f aca="false">IF(C56="","",E56*H56)</f>
        <v/>
      </c>
    </row>
    <row r="57" customFormat="false" ht="15" hidden="false" customHeight="true" outlineLevel="0" collapsed="false">
      <c r="A57" s="21" t="str">
        <f aca="false">IF(C57="","",ROW()-1)</f>
        <v/>
      </c>
      <c r="B57" s="53"/>
      <c r="C57" s="22"/>
      <c r="D57" s="54" t="str">
        <f aca="false">IFERROR(VLOOKUP(C57,المخزن!$B$2:$H$201,2,FALSE()),"")</f>
        <v/>
      </c>
      <c r="E57" s="24"/>
      <c r="F57" s="26"/>
      <c r="G57" s="27" t="str">
        <f aca="false">IF(C57="","",E57*F57)</f>
        <v/>
      </c>
      <c r="H57" s="55" t="n">
        <f aca="false">IFERROR(VLOOKUP(C57,المخزن!$B$2:$H$201,7,FALSE()),0)</f>
        <v>0</v>
      </c>
      <c r="I57" s="27" t="str">
        <f aca="false">IF(C57="","",E57*H57)</f>
        <v/>
      </c>
    </row>
    <row r="58" customFormat="false" ht="15" hidden="false" customHeight="true" outlineLevel="0" collapsed="false">
      <c r="A58" s="21" t="str">
        <f aca="false">IF(C58="","",ROW()-1)</f>
        <v/>
      </c>
      <c r="B58" s="53"/>
      <c r="C58" s="22"/>
      <c r="D58" s="54" t="str">
        <f aca="false">IFERROR(VLOOKUP(C58,المخزن!$B$2:$H$201,2,FALSE()),"")</f>
        <v/>
      </c>
      <c r="E58" s="24"/>
      <c r="F58" s="26"/>
      <c r="G58" s="27" t="str">
        <f aca="false">IF(C58="","",E58*F58)</f>
        <v/>
      </c>
      <c r="H58" s="55" t="n">
        <f aca="false">IFERROR(VLOOKUP(C58,المخزن!$B$2:$H$201,7,FALSE()),0)</f>
        <v>0</v>
      </c>
      <c r="I58" s="27" t="str">
        <f aca="false">IF(C58="","",E58*H58)</f>
        <v/>
      </c>
    </row>
    <row r="59" customFormat="false" ht="15" hidden="false" customHeight="true" outlineLevel="0" collapsed="false">
      <c r="A59" s="21" t="str">
        <f aca="false">IF(C59="","",ROW()-1)</f>
        <v/>
      </c>
      <c r="B59" s="53"/>
      <c r="C59" s="22"/>
      <c r="D59" s="54" t="str">
        <f aca="false">IFERROR(VLOOKUP(C59,المخزن!$B$2:$H$201,2,FALSE()),"")</f>
        <v/>
      </c>
      <c r="E59" s="24"/>
      <c r="F59" s="26"/>
      <c r="G59" s="27" t="str">
        <f aca="false">IF(C59="","",E59*F59)</f>
        <v/>
      </c>
      <c r="H59" s="55" t="n">
        <f aca="false">IFERROR(VLOOKUP(C59,المخزن!$B$2:$H$201,7,FALSE()),0)</f>
        <v>0</v>
      </c>
      <c r="I59" s="27" t="str">
        <f aca="false">IF(C59="","",E59*H59)</f>
        <v/>
      </c>
    </row>
    <row r="60" customFormat="false" ht="15" hidden="false" customHeight="true" outlineLevel="0" collapsed="false">
      <c r="A60" s="21" t="str">
        <f aca="false">IF(C60="","",ROW()-1)</f>
        <v/>
      </c>
      <c r="B60" s="53"/>
      <c r="C60" s="22"/>
      <c r="D60" s="54" t="str">
        <f aca="false">IFERROR(VLOOKUP(C60,المخزن!$B$2:$H$201,2,FALSE()),"")</f>
        <v/>
      </c>
      <c r="E60" s="24"/>
      <c r="F60" s="26"/>
      <c r="G60" s="27" t="str">
        <f aca="false">IF(C60="","",E60*F60)</f>
        <v/>
      </c>
      <c r="H60" s="55" t="n">
        <f aca="false">IFERROR(VLOOKUP(C60,المخزن!$B$2:$H$201,7,FALSE()),0)</f>
        <v>0</v>
      </c>
      <c r="I60" s="27" t="str">
        <f aca="false">IF(C60="","",E60*H60)</f>
        <v/>
      </c>
    </row>
    <row r="61" customFormat="false" ht="15" hidden="false" customHeight="true" outlineLevel="0" collapsed="false">
      <c r="A61" s="21" t="str">
        <f aca="false">IF(C61="","",ROW()-1)</f>
        <v/>
      </c>
      <c r="B61" s="53"/>
      <c r="C61" s="22"/>
      <c r="D61" s="54" t="str">
        <f aca="false">IFERROR(VLOOKUP(C61,المخزن!$B$2:$H$201,2,FALSE()),"")</f>
        <v/>
      </c>
      <c r="E61" s="24"/>
      <c r="F61" s="26"/>
      <c r="G61" s="27" t="str">
        <f aca="false">IF(C61="","",E61*F61)</f>
        <v/>
      </c>
      <c r="H61" s="55" t="n">
        <f aca="false">IFERROR(VLOOKUP(C61,المخزن!$B$2:$H$201,7,FALSE()),0)</f>
        <v>0</v>
      </c>
      <c r="I61" s="27" t="str">
        <f aca="false">IF(C61="","",E61*H61)</f>
        <v/>
      </c>
    </row>
    <row r="62" customFormat="false" ht="15" hidden="false" customHeight="true" outlineLevel="0" collapsed="false">
      <c r="A62" s="21" t="str">
        <f aca="false">IF(C62="","",ROW()-1)</f>
        <v/>
      </c>
      <c r="B62" s="53"/>
      <c r="C62" s="22"/>
      <c r="D62" s="54" t="str">
        <f aca="false">IFERROR(VLOOKUP(C62,المخزن!$B$2:$H$201,2,FALSE()),"")</f>
        <v/>
      </c>
      <c r="E62" s="24"/>
      <c r="F62" s="26"/>
      <c r="G62" s="27" t="str">
        <f aca="false">IF(C62="","",E62*F62)</f>
        <v/>
      </c>
      <c r="H62" s="55" t="n">
        <f aca="false">IFERROR(VLOOKUP(C62,المخزن!$B$2:$H$201,7,FALSE()),0)</f>
        <v>0</v>
      </c>
      <c r="I62" s="27" t="str">
        <f aca="false">IF(C62="","",E62*H62)</f>
        <v/>
      </c>
    </row>
    <row r="63" customFormat="false" ht="15" hidden="false" customHeight="true" outlineLevel="0" collapsed="false">
      <c r="A63" s="21" t="str">
        <f aca="false">IF(C63="","",ROW()-1)</f>
        <v/>
      </c>
      <c r="B63" s="53"/>
      <c r="C63" s="22"/>
      <c r="D63" s="54" t="str">
        <f aca="false">IFERROR(VLOOKUP(C63,المخزن!$B$2:$H$201,2,FALSE()),"")</f>
        <v/>
      </c>
      <c r="E63" s="24"/>
      <c r="F63" s="26"/>
      <c r="G63" s="27" t="str">
        <f aca="false">IF(C63="","",E63*F63)</f>
        <v/>
      </c>
      <c r="H63" s="55" t="n">
        <f aca="false">IFERROR(VLOOKUP(C63,المخزن!$B$2:$H$201,7,FALSE()),0)</f>
        <v>0</v>
      </c>
      <c r="I63" s="27" t="str">
        <f aca="false">IF(C63="","",E63*H63)</f>
        <v/>
      </c>
    </row>
    <row r="64" customFormat="false" ht="15" hidden="false" customHeight="true" outlineLevel="0" collapsed="false">
      <c r="A64" s="21" t="str">
        <f aca="false">IF(C64="","",ROW()-1)</f>
        <v/>
      </c>
      <c r="B64" s="53"/>
      <c r="C64" s="22"/>
      <c r="D64" s="54" t="str">
        <f aca="false">IFERROR(VLOOKUP(C64,المخزن!$B$2:$H$201,2,FALSE()),"")</f>
        <v/>
      </c>
      <c r="E64" s="24"/>
      <c r="F64" s="26"/>
      <c r="G64" s="27" t="str">
        <f aca="false">IF(C64="","",E64*F64)</f>
        <v/>
      </c>
      <c r="H64" s="55" t="n">
        <f aca="false">IFERROR(VLOOKUP(C64,المخزن!$B$2:$H$201,7,FALSE()),0)</f>
        <v>0</v>
      </c>
      <c r="I64" s="27" t="str">
        <f aca="false">IF(C64="","",E64*H64)</f>
        <v/>
      </c>
    </row>
    <row r="65" customFormat="false" ht="15" hidden="false" customHeight="true" outlineLevel="0" collapsed="false">
      <c r="A65" s="21" t="str">
        <f aca="false">IF(C65="","",ROW()-1)</f>
        <v/>
      </c>
      <c r="B65" s="53"/>
      <c r="C65" s="22"/>
      <c r="D65" s="54" t="str">
        <f aca="false">IFERROR(VLOOKUP(C65,المخزن!$B$2:$H$201,2,FALSE()),"")</f>
        <v/>
      </c>
      <c r="E65" s="24"/>
      <c r="F65" s="26"/>
      <c r="G65" s="27" t="str">
        <f aca="false">IF(C65="","",E65*F65)</f>
        <v/>
      </c>
      <c r="H65" s="55" t="n">
        <f aca="false">IFERROR(VLOOKUP(C65,المخزن!$B$2:$H$201,7,FALSE()),0)</f>
        <v>0</v>
      </c>
      <c r="I65" s="27" t="str">
        <f aca="false">IF(C65="","",E65*H65)</f>
        <v/>
      </c>
    </row>
    <row r="66" customFormat="false" ht="15" hidden="false" customHeight="true" outlineLevel="0" collapsed="false">
      <c r="A66" s="21" t="str">
        <f aca="false">IF(C66="","",ROW()-1)</f>
        <v/>
      </c>
      <c r="B66" s="53"/>
      <c r="C66" s="22"/>
      <c r="D66" s="54" t="str">
        <f aca="false">IFERROR(VLOOKUP(C66,المخزن!$B$2:$H$201,2,FALSE()),"")</f>
        <v/>
      </c>
      <c r="E66" s="24"/>
      <c r="F66" s="26"/>
      <c r="G66" s="27" t="str">
        <f aca="false">IF(C66="","",E66*F66)</f>
        <v/>
      </c>
      <c r="H66" s="55" t="n">
        <f aca="false">IFERROR(VLOOKUP(C66,المخزن!$B$2:$H$201,7,FALSE()),0)</f>
        <v>0</v>
      </c>
      <c r="I66" s="27" t="str">
        <f aca="false">IF(C66="","",E66*H66)</f>
        <v/>
      </c>
    </row>
    <row r="67" customFormat="false" ht="15" hidden="false" customHeight="true" outlineLevel="0" collapsed="false">
      <c r="A67" s="21" t="str">
        <f aca="false">IF(C67="","",ROW()-1)</f>
        <v/>
      </c>
      <c r="B67" s="53"/>
      <c r="C67" s="22"/>
      <c r="D67" s="54" t="str">
        <f aca="false">IFERROR(VLOOKUP(C67,المخزن!$B$2:$H$201,2,FALSE()),"")</f>
        <v/>
      </c>
      <c r="E67" s="24"/>
      <c r="F67" s="26"/>
      <c r="G67" s="27" t="str">
        <f aca="false">IF(C67="","",E67*F67)</f>
        <v/>
      </c>
      <c r="H67" s="55" t="n">
        <f aca="false">IFERROR(VLOOKUP(C67,المخزن!$B$2:$H$201,7,FALSE()),0)</f>
        <v>0</v>
      </c>
      <c r="I67" s="27" t="str">
        <f aca="false">IF(C67="","",E67*H67)</f>
        <v/>
      </c>
    </row>
    <row r="68" customFormat="false" ht="15" hidden="false" customHeight="true" outlineLevel="0" collapsed="false">
      <c r="A68" s="21" t="str">
        <f aca="false">IF(C68="","",ROW()-1)</f>
        <v/>
      </c>
      <c r="B68" s="53"/>
      <c r="C68" s="22"/>
      <c r="D68" s="54" t="str">
        <f aca="false">IFERROR(VLOOKUP(C68,المخزن!$B$2:$H$201,2,FALSE()),"")</f>
        <v/>
      </c>
      <c r="E68" s="24"/>
      <c r="F68" s="26"/>
      <c r="G68" s="27" t="str">
        <f aca="false">IF(C68="","",E68*F68)</f>
        <v/>
      </c>
      <c r="H68" s="55" t="n">
        <f aca="false">IFERROR(VLOOKUP(C68,المخزن!$B$2:$H$201,7,FALSE()),0)</f>
        <v>0</v>
      </c>
      <c r="I68" s="27" t="str">
        <f aca="false">IF(C68="","",E68*H68)</f>
        <v/>
      </c>
    </row>
    <row r="69" customFormat="false" ht="15" hidden="false" customHeight="true" outlineLevel="0" collapsed="false">
      <c r="A69" s="21" t="str">
        <f aca="false">IF(C69="","",ROW()-1)</f>
        <v/>
      </c>
      <c r="B69" s="53"/>
      <c r="C69" s="22"/>
      <c r="D69" s="54" t="str">
        <f aca="false">IFERROR(VLOOKUP(C69,المخزن!$B$2:$H$201,2,FALSE()),"")</f>
        <v/>
      </c>
      <c r="E69" s="24"/>
      <c r="F69" s="26"/>
      <c r="G69" s="27" t="str">
        <f aca="false">IF(C69="","",E69*F69)</f>
        <v/>
      </c>
      <c r="H69" s="55" t="n">
        <f aca="false">IFERROR(VLOOKUP(C69,المخزن!$B$2:$H$201,7,FALSE()),0)</f>
        <v>0</v>
      </c>
      <c r="I69" s="27" t="str">
        <f aca="false">IF(C69="","",E69*H69)</f>
        <v/>
      </c>
    </row>
    <row r="70" customFormat="false" ht="15" hidden="false" customHeight="true" outlineLevel="0" collapsed="false">
      <c r="A70" s="21" t="str">
        <f aca="false">IF(C70="","",ROW()-1)</f>
        <v/>
      </c>
      <c r="B70" s="53"/>
      <c r="C70" s="22"/>
      <c r="D70" s="54" t="str">
        <f aca="false">IFERROR(VLOOKUP(C70,المخزن!$B$2:$H$201,2,FALSE()),"")</f>
        <v/>
      </c>
      <c r="E70" s="24"/>
      <c r="F70" s="26"/>
      <c r="G70" s="27" t="str">
        <f aca="false">IF(C70="","",E70*F70)</f>
        <v/>
      </c>
      <c r="H70" s="55" t="n">
        <f aca="false">IFERROR(VLOOKUP(C70,المخزن!$B$2:$H$201,7,FALSE()),0)</f>
        <v>0</v>
      </c>
      <c r="I70" s="27" t="str">
        <f aca="false">IF(C70="","",E70*H70)</f>
        <v/>
      </c>
    </row>
    <row r="71" customFormat="false" ht="15" hidden="false" customHeight="true" outlineLevel="0" collapsed="false">
      <c r="A71" s="21" t="str">
        <f aca="false">IF(C71="","",ROW()-1)</f>
        <v/>
      </c>
      <c r="B71" s="53"/>
      <c r="C71" s="22"/>
      <c r="D71" s="54" t="str">
        <f aca="false">IFERROR(VLOOKUP(C71,المخزن!$B$2:$H$201,2,FALSE()),"")</f>
        <v/>
      </c>
      <c r="E71" s="24"/>
      <c r="F71" s="26"/>
      <c r="G71" s="27" t="str">
        <f aca="false">IF(C71="","",E71*F71)</f>
        <v/>
      </c>
      <c r="H71" s="55" t="n">
        <f aca="false">IFERROR(VLOOKUP(C71,المخزن!$B$2:$H$201,7,FALSE()),0)</f>
        <v>0</v>
      </c>
      <c r="I71" s="27" t="str">
        <f aca="false">IF(C71="","",E71*H71)</f>
        <v/>
      </c>
    </row>
    <row r="72" customFormat="false" ht="15" hidden="false" customHeight="true" outlineLevel="0" collapsed="false">
      <c r="A72" s="21" t="str">
        <f aca="false">IF(C72="","",ROW()-1)</f>
        <v/>
      </c>
      <c r="B72" s="53"/>
      <c r="C72" s="22"/>
      <c r="D72" s="54" t="str">
        <f aca="false">IFERROR(VLOOKUP(C72,المخزن!$B$2:$H$201,2,FALSE()),"")</f>
        <v/>
      </c>
      <c r="E72" s="24"/>
      <c r="F72" s="26"/>
      <c r="G72" s="27" t="str">
        <f aca="false">IF(C72="","",E72*F72)</f>
        <v/>
      </c>
      <c r="H72" s="55" t="n">
        <f aca="false">IFERROR(VLOOKUP(C72,المخزن!$B$2:$H$201,7,FALSE()),0)</f>
        <v>0</v>
      </c>
      <c r="I72" s="27" t="str">
        <f aca="false">IF(C72="","",E72*H72)</f>
        <v/>
      </c>
    </row>
    <row r="73" customFormat="false" ht="15" hidden="false" customHeight="true" outlineLevel="0" collapsed="false">
      <c r="A73" s="21" t="str">
        <f aca="false">IF(C73="","",ROW()-1)</f>
        <v/>
      </c>
      <c r="B73" s="53"/>
      <c r="C73" s="22"/>
      <c r="D73" s="54" t="str">
        <f aca="false">IFERROR(VLOOKUP(C73,المخزن!$B$2:$H$201,2,FALSE()),"")</f>
        <v/>
      </c>
      <c r="E73" s="24"/>
      <c r="F73" s="26"/>
      <c r="G73" s="27" t="str">
        <f aca="false">IF(C73="","",E73*F73)</f>
        <v/>
      </c>
      <c r="H73" s="55" t="n">
        <f aca="false">IFERROR(VLOOKUP(C73,المخزن!$B$2:$H$201,7,FALSE()),0)</f>
        <v>0</v>
      </c>
      <c r="I73" s="27" t="str">
        <f aca="false">IF(C73="","",E73*H73)</f>
        <v/>
      </c>
    </row>
    <row r="74" customFormat="false" ht="15" hidden="false" customHeight="true" outlineLevel="0" collapsed="false">
      <c r="A74" s="21" t="str">
        <f aca="false">IF(C74="","",ROW()-1)</f>
        <v/>
      </c>
      <c r="B74" s="53"/>
      <c r="C74" s="22"/>
      <c r="D74" s="54" t="str">
        <f aca="false">IFERROR(VLOOKUP(C74,المخزن!$B$2:$H$201,2,FALSE()),"")</f>
        <v/>
      </c>
      <c r="E74" s="24"/>
      <c r="F74" s="26"/>
      <c r="G74" s="27" t="str">
        <f aca="false">IF(C74="","",E74*F74)</f>
        <v/>
      </c>
      <c r="H74" s="55" t="n">
        <f aca="false">IFERROR(VLOOKUP(C74,المخزن!$B$2:$H$201,7,FALSE()),0)</f>
        <v>0</v>
      </c>
      <c r="I74" s="27" t="str">
        <f aca="false">IF(C74="","",E74*H74)</f>
        <v/>
      </c>
    </row>
    <row r="75" customFormat="false" ht="15" hidden="false" customHeight="true" outlineLevel="0" collapsed="false">
      <c r="A75" s="21" t="str">
        <f aca="false">IF(C75="","",ROW()-1)</f>
        <v/>
      </c>
      <c r="B75" s="53"/>
      <c r="C75" s="22"/>
      <c r="D75" s="54" t="str">
        <f aca="false">IFERROR(VLOOKUP(C75,المخزن!$B$2:$H$201,2,FALSE()),"")</f>
        <v/>
      </c>
      <c r="E75" s="24"/>
      <c r="F75" s="26"/>
      <c r="G75" s="27" t="str">
        <f aca="false">IF(C75="","",E75*F75)</f>
        <v/>
      </c>
      <c r="H75" s="55" t="n">
        <f aca="false">IFERROR(VLOOKUP(C75,المخزن!$B$2:$H$201,7,FALSE()),0)</f>
        <v>0</v>
      </c>
      <c r="I75" s="27" t="str">
        <f aca="false">IF(C75="","",E75*H75)</f>
        <v/>
      </c>
    </row>
    <row r="76" customFormat="false" ht="15" hidden="false" customHeight="true" outlineLevel="0" collapsed="false">
      <c r="A76" s="21" t="str">
        <f aca="false">IF(C76="","",ROW()-1)</f>
        <v/>
      </c>
      <c r="B76" s="53"/>
      <c r="C76" s="22"/>
      <c r="D76" s="54" t="str">
        <f aca="false">IFERROR(VLOOKUP(C76,المخزن!$B$2:$H$201,2,FALSE()),"")</f>
        <v/>
      </c>
      <c r="E76" s="24"/>
      <c r="F76" s="26"/>
      <c r="G76" s="27" t="str">
        <f aca="false">IF(C76="","",E76*F76)</f>
        <v/>
      </c>
      <c r="H76" s="55" t="n">
        <f aca="false">IFERROR(VLOOKUP(C76,المخزن!$B$2:$H$201,7,FALSE()),0)</f>
        <v>0</v>
      </c>
      <c r="I76" s="27" t="str">
        <f aca="false">IF(C76="","",E76*H76)</f>
        <v/>
      </c>
    </row>
    <row r="77" customFormat="false" ht="15" hidden="false" customHeight="true" outlineLevel="0" collapsed="false">
      <c r="A77" s="21" t="str">
        <f aca="false">IF(C77="","",ROW()-1)</f>
        <v/>
      </c>
      <c r="B77" s="53"/>
      <c r="C77" s="22"/>
      <c r="D77" s="54" t="str">
        <f aca="false">IFERROR(VLOOKUP(C77,المخزن!$B$2:$H$201,2,FALSE()),"")</f>
        <v/>
      </c>
      <c r="E77" s="24"/>
      <c r="F77" s="26"/>
      <c r="G77" s="27" t="str">
        <f aca="false">IF(C77="","",E77*F77)</f>
        <v/>
      </c>
      <c r="H77" s="55" t="n">
        <f aca="false">IFERROR(VLOOKUP(C77,المخزن!$B$2:$H$201,7,FALSE()),0)</f>
        <v>0</v>
      </c>
      <c r="I77" s="27" t="str">
        <f aca="false">IF(C77="","",E77*H77)</f>
        <v/>
      </c>
    </row>
    <row r="78" customFormat="false" ht="15" hidden="false" customHeight="true" outlineLevel="0" collapsed="false">
      <c r="A78" s="21" t="str">
        <f aca="false">IF(C78="","",ROW()-1)</f>
        <v/>
      </c>
      <c r="B78" s="53"/>
      <c r="C78" s="22"/>
      <c r="D78" s="54" t="str">
        <f aca="false">IFERROR(VLOOKUP(C78,المخزن!$B$2:$H$201,2,FALSE()),"")</f>
        <v/>
      </c>
      <c r="E78" s="24"/>
      <c r="F78" s="26"/>
      <c r="G78" s="27" t="str">
        <f aca="false">IF(C78="","",E78*F78)</f>
        <v/>
      </c>
      <c r="H78" s="55" t="n">
        <f aca="false">IFERROR(VLOOKUP(C78,المخزن!$B$2:$H$201,7,FALSE()),0)</f>
        <v>0</v>
      </c>
      <c r="I78" s="27" t="str">
        <f aca="false">IF(C78="","",E78*H78)</f>
        <v/>
      </c>
    </row>
    <row r="79" customFormat="false" ht="15" hidden="false" customHeight="true" outlineLevel="0" collapsed="false">
      <c r="A79" s="21" t="str">
        <f aca="false">IF(C79="","",ROW()-1)</f>
        <v/>
      </c>
      <c r="B79" s="53"/>
      <c r="C79" s="22"/>
      <c r="D79" s="54" t="str">
        <f aca="false">IFERROR(VLOOKUP(C79,المخزن!$B$2:$H$201,2,FALSE()),"")</f>
        <v/>
      </c>
      <c r="E79" s="24"/>
      <c r="F79" s="26"/>
      <c r="G79" s="27" t="str">
        <f aca="false">IF(C79="","",E79*F79)</f>
        <v/>
      </c>
      <c r="H79" s="55" t="n">
        <f aca="false">IFERROR(VLOOKUP(C79,المخزن!$B$2:$H$201,7,FALSE()),0)</f>
        <v>0</v>
      </c>
      <c r="I79" s="27" t="str">
        <f aca="false">IF(C79="","",E79*H79)</f>
        <v/>
      </c>
    </row>
    <row r="80" customFormat="false" ht="15" hidden="false" customHeight="true" outlineLevel="0" collapsed="false">
      <c r="A80" s="21" t="str">
        <f aca="false">IF(C80="","",ROW()-1)</f>
        <v/>
      </c>
      <c r="B80" s="53"/>
      <c r="C80" s="22"/>
      <c r="D80" s="54" t="str">
        <f aca="false">IFERROR(VLOOKUP(C80,المخزن!$B$2:$H$201,2,FALSE()),"")</f>
        <v/>
      </c>
      <c r="E80" s="24"/>
      <c r="F80" s="26"/>
      <c r="G80" s="27" t="str">
        <f aca="false">IF(C80="","",E80*F80)</f>
        <v/>
      </c>
      <c r="H80" s="55" t="n">
        <f aca="false">IFERROR(VLOOKUP(C80,المخزن!$B$2:$H$201,7,FALSE()),0)</f>
        <v>0</v>
      </c>
      <c r="I80" s="27" t="str">
        <f aca="false">IF(C80="","",E80*H80)</f>
        <v/>
      </c>
    </row>
    <row r="81" customFormat="false" ht="15" hidden="false" customHeight="true" outlineLevel="0" collapsed="false">
      <c r="A81" s="21" t="str">
        <f aca="false">IF(C81="","",ROW()-1)</f>
        <v/>
      </c>
      <c r="B81" s="53"/>
      <c r="C81" s="22"/>
      <c r="D81" s="54" t="str">
        <f aca="false">IFERROR(VLOOKUP(C81,المخزن!$B$2:$H$201,2,FALSE()),"")</f>
        <v/>
      </c>
      <c r="E81" s="24"/>
      <c r="F81" s="26"/>
      <c r="G81" s="27" t="str">
        <f aca="false">IF(C81="","",E81*F81)</f>
        <v/>
      </c>
      <c r="H81" s="55" t="n">
        <f aca="false">IFERROR(VLOOKUP(C81,المخزن!$B$2:$H$201,7,FALSE()),0)</f>
        <v>0</v>
      </c>
      <c r="I81" s="27" t="str">
        <f aca="false">IF(C81="","",E81*H81)</f>
        <v/>
      </c>
    </row>
    <row r="82" customFormat="false" ht="15" hidden="false" customHeight="true" outlineLevel="0" collapsed="false">
      <c r="A82" s="21" t="str">
        <f aca="false">IF(C82="","",ROW()-1)</f>
        <v/>
      </c>
      <c r="B82" s="53"/>
      <c r="C82" s="22"/>
      <c r="D82" s="54" t="str">
        <f aca="false">IFERROR(VLOOKUP(C82,المخزن!$B$2:$H$201,2,FALSE()),"")</f>
        <v/>
      </c>
      <c r="E82" s="24"/>
      <c r="F82" s="26"/>
      <c r="G82" s="27" t="str">
        <f aca="false">IF(C82="","",E82*F82)</f>
        <v/>
      </c>
      <c r="H82" s="55" t="n">
        <f aca="false">IFERROR(VLOOKUP(C82,المخزن!$B$2:$H$201,7,FALSE()),0)</f>
        <v>0</v>
      </c>
      <c r="I82" s="27" t="str">
        <f aca="false">IF(C82="","",E82*H82)</f>
        <v/>
      </c>
    </row>
    <row r="83" customFormat="false" ht="15" hidden="false" customHeight="true" outlineLevel="0" collapsed="false">
      <c r="A83" s="21" t="str">
        <f aca="false">IF(C83="","",ROW()-1)</f>
        <v/>
      </c>
      <c r="B83" s="53"/>
      <c r="C83" s="22"/>
      <c r="D83" s="54" t="str">
        <f aca="false">IFERROR(VLOOKUP(C83,المخزن!$B$2:$H$201,2,FALSE()),"")</f>
        <v/>
      </c>
      <c r="E83" s="24"/>
      <c r="F83" s="26"/>
      <c r="G83" s="27" t="str">
        <f aca="false">IF(C83="","",E83*F83)</f>
        <v/>
      </c>
      <c r="H83" s="55" t="n">
        <f aca="false">IFERROR(VLOOKUP(C83,المخزن!$B$2:$H$201,7,FALSE()),0)</f>
        <v>0</v>
      </c>
      <c r="I83" s="27" t="str">
        <f aca="false">IF(C83="","",E83*H83)</f>
        <v/>
      </c>
    </row>
    <row r="84" customFormat="false" ht="15" hidden="false" customHeight="true" outlineLevel="0" collapsed="false">
      <c r="A84" s="21" t="str">
        <f aca="false">IF(C84="","",ROW()-1)</f>
        <v/>
      </c>
      <c r="B84" s="53"/>
      <c r="C84" s="22"/>
      <c r="D84" s="54" t="str">
        <f aca="false">IFERROR(VLOOKUP(C84,المخزن!$B$2:$H$201,2,FALSE()),"")</f>
        <v/>
      </c>
      <c r="E84" s="24"/>
      <c r="F84" s="26"/>
      <c r="G84" s="27" t="str">
        <f aca="false">IF(C84="","",E84*F84)</f>
        <v/>
      </c>
      <c r="H84" s="55" t="n">
        <f aca="false">IFERROR(VLOOKUP(C84,المخزن!$B$2:$H$201,7,FALSE()),0)</f>
        <v>0</v>
      </c>
      <c r="I84" s="27" t="str">
        <f aca="false">IF(C84="","",E84*H84)</f>
        <v/>
      </c>
    </row>
    <row r="85" customFormat="false" ht="15" hidden="false" customHeight="true" outlineLevel="0" collapsed="false">
      <c r="A85" s="21" t="str">
        <f aca="false">IF(C85="","",ROW()-1)</f>
        <v/>
      </c>
      <c r="B85" s="53"/>
      <c r="C85" s="22"/>
      <c r="D85" s="54" t="str">
        <f aca="false">IFERROR(VLOOKUP(C85,المخزن!$B$2:$H$201,2,FALSE()),"")</f>
        <v/>
      </c>
      <c r="E85" s="24"/>
      <c r="F85" s="26"/>
      <c r="G85" s="27" t="str">
        <f aca="false">IF(C85="","",E85*F85)</f>
        <v/>
      </c>
      <c r="H85" s="55" t="n">
        <f aca="false">IFERROR(VLOOKUP(C85,المخزن!$B$2:$H$201,7,FALSE()),0)</f>
        <v>0</v>
      </c>
      <c r="I85" s="27" t="str">
        <f aca="false">IF(C85="","",E85*H85)</f>
        <v/>
      </c>
    </row>
    <row r="86" customFormat="false" ht="15" hidden="false" customHeight="true" outlineLevel="0" collapsed="false">
      <c r="A86" s="21" t="str">
        <f aca="false">IF(C86="","",ROW()-1)</f>
        <v/>
      </c>
      <c r="B86" s="53"/>
      <c r="C86" s="22"/>
      <c r="D86" s="54" t="str">
        <f aca="false">IFERROR(VLOOKUP(C86,المخزن!$B$2:$H$201,2,FALSE()),"")</f>
        <v/>
      </c>
      <c r="E86" s="24"/>
      <c r="F86" s="26"/>
      <c r="G86" s="27" t="str">
        <f aca="false">IF(C86="","",E86*F86)</f>
        <v/>
      </c>
      <c r="H86" s="55" t="n">
        <f aca="false">IFERROR(VLOOKUP(C86,المخزن!$B$2:$H$201,7,FALSE()),0)</f>
        <v>0</v>
      </c>
      <c r="I86" s="27" t="str">
        <f aca="false">IF(C86="","",E86*H86)</f>
        <v/>
      </c>
    </row>
    <row r="87" customFormat="false" ht="15" hidden="false" customHeight="true" outlineLevel="0" collapsed="false">
      <c r="A87" s="21" t="str">
        <f aca="false">IF(C87="","",ROW()-1)</f>
        <v/>
      </c>
      <c r="B87" s="53"/>
      <c r="C87" s="22"/>
      <c r="D87" s="54" t="str">
        <f aca="false">IFERROR(VLOOKUP(C87,المخزن!$B$2:$H$201,2,FALSE()),"")</f>
        <v/>
      </c>
      <c r="E87" s="24"/>
      <c r="F87" s="26"/>
      <c r="G87" s="27" t="str">
        <f aca="false">IF(C87="","",E87*F87)</f>
        <v/>
      </c>
      <c r="H87" s="55" t="n">
        <f aca="false">IFERROR(VLOOKUP(C87,المخزن!$B$2:$H$201,7,FALSE()),0)</f>
        <v>0</v>
      </c>
      <c r="I87" s="27" t="str">
        <f aca="false">IF(C87="","",E87*H87)</f>
        <v/>
      </c>
    </row>
    <row r="88" customFormat="false" ht="15" hidden="false" customHeight="true" outlineLevel="0" collapsed="false">
      <c r="A88" s="21" t="str">
        <f aca="false">IF(C88="","",ROW()-1)</f>
        <v/>
      </c>
      <c r="B88" s="53"/>
      <c r="C88" s="22"/>
      <c r="D88" s="54" t="str">
        <f aca="false">IFERROR(VLOOKUP(C88,المخزن!$B$2:$H$201,2,FALSE()),"")</f>
        <v/>
      </c>
      <c r="E88" s="24"/>
      <c r="F88" s="26"/>
      <c r="G88" s="27" t="str">
        <f aca="false">IF(C88="","",E88*F88)</f>
        <v/>
      </c>
      <c r="H88" s="55" t="n">
        <f aca="false">IFERROR(VLOOKUP(C88,المخزن!$B$2:$H$201,7,FALSE()),0)</f>
        <v>0</v>
      </c>
      <c r="I88" s="27" t="str">
        <f aca="false">IF(C88="","",E88*H88)</f>
        <v/>
      </c>
    </row>
    <row r="89" customFormat="false" ht="15" hidden="false" customHeight="true" outlineLevel="0" collapsed="false">
      <c r="A89" s="21" t="str">
        <f aca="false">IF(C89="","",ROW()-1)</f>
        <v/>
      </c>
      <c r="B89" s="53"/>
      <c r="C89" s="22"/>
      <c r="D89" s="54" t="str">
        <f aca="false">IFERROR(VLOOKUP(C89,المخزن!$B$2:$H$201,2,FALSE()),"")</f>
        <v/>
      </c>
      <c r="E89" s="24"/>
      <c r="F89" s="26"/>
      <c r="G89" s="27" t="str">
        <f aca="false">IF(C89="","",E89*F89)</f>
        <v/>
      </c>
      <c r="H89" s="55" t="n">
        <f aca="false">IFERROR(VLOOKUP(C89,المخزن!$B$2:$H$201,7,FALSE()),0)</f>
        <v>0</v>
      </c>
      <c r="I89" s="27" t="str">
        <f aca="false">IF(C89="","",E89*H89)</f>
        <v/>
      </c>
    </row>
    <row r="90" customFormat="false" ht="15" hidden="false" customHeight="true" outlineLevel="0" collapsed="false">
      <c r="A90" s="21" t="str">
        <f aca="false">IF(C90="","",ROW()-1)</f>
        <v/>
      </c>
      <c r="B90" s="53"/>
      <c r="C90" s="22"/>
      <c r="D90" s="54" t="str">
        <f aca="false">IFERROR(VLOOKUP(C90,المخزن!$B$2:$H$201,2,FALSE()),"")</f>
        <v/>
      </c>
      <c r="E90" s="24"/>
      <c r="F90" s="26"/>
      <c r="G90" s="27" t="str">
        <f aca="false">IF(C90="","",E90*F90)</f>
        <v/>
      </c>
      <c r="H90" s="55" t="n">
        <f aca="false">IFERROR(VLOOKUP(C90,المخزن!$B$2:$H$201,7,FALSE()),0)</f>
        <v>0</v>
      </c>
      <c r="I90" s="27" t="str">
        <f aca="false">IF(C90="","",E90*H90)</f>
        <v/>
      </c>
    </row>
    <row r="91" customFormat="false" ht="15" hidden="false" customHeight="true" outlineLevel="0" collapsed="false">
      <c r="A91" s="21" t="str">
        <f aca="false">IF(C91="","",ROW()-1)</f>
        <v/>
      </c>
      <c r="B91" s="53"/>
      <c r="C91" s="22"/>
      <c r="D91" s="54" t="str">
        <f aca="false">IFERROR(VLOOKUP(C91,المخزن!$B$2:$H$201,2,FALSE()),"")</f>
        <v/>
      </c>
      <c r="E91" s="24"/>
      <c r="F91" s="26"/>
      <c r="G91" s="27" t="str">
        <f aca="false">IF(C91="","",E91*F91)</f>
        <v/>
      </c>
      <c r="H91" s="55" t="n">
        <f aca="false">IFERROR(VLOOKUP(C91,المخزن!$B$2:$H$201,7,FALSE()),0)</f>
        <v>0</v>
      </c>
      <c r="I91" s="27" t="str">
        <f aca="false">IF(C91="","",E91*H91)</f>
        <v/>
      </c>
    </row>
    <row r="92" customFormat="false" ht="15" hidden="false" customHeight="true" outlineLevel="0" collapsed="false">
      <c r="A92" s="21" t="str">
        <f aca="false">IF(C92="","",ROW()-1)</f>
        <v/>
      </c>
      <c r="B92" s="53"/>
      <c r="C92" s="22"/>
      <c r="D92" s="54" t="str">
        <f aca="false">IFERROR(VLOOKUP(C92,المخزن!$B$2:$H$201,2,FALSE()),"")</f>
        <v/>
      </c>
      <c r="E92" s="24"/>
      <c r="F92" s="26"/>
      <c r="G92" s="27" t="str">
        <f aca="false">IF(C92="","",E92*F92)</f>
        <v/>
      </c>
      <c r="H92" s="55" t="n">
        <f aca="false">IFERROR(VLOOKUP(C92,المخزن!$B$2:$H$201,7,FALSE()),0)</f>
        <v>0</v>
      </c>
      <c r="I92" s="27" t="str">
        <f aca="false">IF(C92="","",E92*H92)</f>
        <v/>
      </c>
    </row>
    <row r="93" customFormat="false" ht="15" hidden="false" customHeight="true" outlineLevel="0" collapsed="false">
      <c r="A93" s="21" t="str">
        <f aca="false">IF(C93="","",ROW()-1)</f>
        <v/>
      </c>
      <c r="B93" s="53"/>
      <c r="C93" s="22"/>
      <c r="D93" s="54" t="str">
        <f aca="false">IFERROR(VLOOKUP(C93,المخزن!$B$2:$H$201,2,FALSE()),"")</f>
        <v/>
      </c>
      <c r="E93" s="24"/>
      <c r="F93" s="26"/>
      <c r="G93" s="27" t="str">
        <f aca="false">IF(C93="","",E93*F93)</f>
        <v/>
      </c>
      <c r="H93" s="55" t="n">
        <f aca="false">IFERROR(VLOOKUP(C93,المخزن!$B$2:$H$201,7,FALSE()),0)</f>
        <v>0</v>
      </c>
      <c r="I93" s="27" t="str">
        <f aca="false">IF(C93="","",E93*H93)</f>
        <v/>
      </c>
    </row>
    <row r="94" customFormat="false" ht="15" hidden="false" customHeight="true" outlineLevel="0" collapsed="false">
      <c r="A94" s="21" t="str">
        <f aca="false">IF(C94="","",ROW()-1)</f>
        <v/>
      </c>
      <c r="B94" s="53"/>
      <c r="C94" s="22"/>
      <c r="D94" s="54" t="str">
        <f aca="false">IFERROR(VLOOKUP(C94,المخزن!$B$2:$H$201,2,FALSE()),"")</f>
        <v/>
      </c>
      <c r="E94" s="24"/>
      <c r="F94" s="26"/>
      <c r="G94" s="27" t="str">
        <f aca="false">IF(C94="","",E94*F94)</f>
        <v/>
      </c>
      <c r="H94" s="55" t="n">
        <f aca="false">IFERROR(VLOOKUP(C94,المخزن!$B$2:$H$201,7,FALSE()),0)</f>
        <v>0</v>
      </c>
      <c r="I94" s="27" t="str">
        <f aca="false">IF(C94="","",E94*H94)</f>
        <v/>
      </c>
    </row>
    <row r="95" customFormat="false" ht="15" hidden="false" customHeight="true" outlineLevel="0" collapsed="false">
      <c r="A95" s="21" t="str">
        <f aca="false">IF(C95="","",ROW()-1)</f>
        <v/>
      </c>
      <c r="B95" s="53"/>
      <c r="C95" s="22"/>
      <c r="D95" s="54" t="str">
        <f aca="false">IFERROR(VLOOKUP(C95,المخزن!$B$2:$H$201,2,FALSE()),"")</f>
        <v/>
      </c>
      <c r="E95" s="24"/>
      <c r="F95" s="26"/>
      <c r="G95" s="27" t="str">
        <f aca="false">IF(C95="","",E95*F95)</f>
        <v/>
      </c>
      <c r="H95" s="55" t="n">
        <f aca="false">IFERROR(VLOOKUP(C95,المخزن!$B$2:$H$201,7,FALSE()),0)</f>
        <v>0</v>
      </c>
      <c r="I95" s="27" t="str">
        <f aca="false">IF(C95="","",E95*H95)</f>
        <v/>
      </c>
    </row>
    <row r="96" customFormat="false" ht="15" hidden="false" customHeight="true" outlineLevel="0" collapsed="false">
      <c r="A96" s="21" t="str">
        <f aca="false">IF(C96="","",ROW()-1)</f>
        <v/>
      </c>
      <c r="B96" s="53"/>
      <c r="C96" s="22"/>
      <c r="D96" s="54" t="str">
        <f aca="false">IFERROR(VLOOKUP(C96,المخزن!$B$2:$H$201,2,FALSE()),"")</f>
        <v/>
      </c>
      <c r="E96" s="24"/>
      <c r="F96" s="26"/>
      <c r="G96" s="27" t="str">
        <f aca="false">IF(C96="","",E96*F96)</f>
        <v/>
      </c>
      <c r="H96" s="55" t="n">
        <f aca="false">IFERROR(VLOOKUP(C96,المخزن!$B$2:$H$201,7,FALSE()),0)</f>
        <v>0</v>
      </c>
      <c r="I96" s="27" t="str">
        <f aca="false">IF(C96="","",E96*H96)</f>
        <v/>
      </c>
    </row>
    <row r="97" customFormat="false" ht="15" hidden="false" customHeight="true" outlineLevel="0" collapsed="false">
      <c r="A97" s="21" t="str">
        <f aca="false">IF(C97="","",ROW()-1)</f>
        <v/>
      </c>
      <c r="B97" s="53"/>
      <c r="C97" s="22"/>
      <c r="D97" s="54" t="str">
        <f aca="false">IFERROR(VLOOKUP(C97,المخزن!$B$2:$H$201,2,FALSE()),"")</f>
        <v/>
      </c>
      <c r="E97" s="24"/>
      <c r="F97" s="26"/>
      <c r="G97" s="27" t="str">
        <f aca="false">IF(C97="","",E97*F97)</f>
        <v/>
      </c>
      <c r="H97" s="55" t="n">
        <f aca="false">IFERROR(VLOOKUP(C97,المخزن!$B$2:$H$201,7,FALSE()),0)</f>
        <v>0</v>
      </c>
      <c r="I97" s="27" t="str">
        <f aca="false">IF(C97="","",E97*H97)</f>
        <v/>
      </c>
    </row>
    <row r="98" customFormat="false" ht="15" hidden="false" customHeight="true" outlineLevel="0" collapsed="false">
      <c r="A98" s="21" t="str">
        <f aca="false">IF(C98="","",ROW()-1)</f>
        <v/>
      </c>
      <c r="B98" s="53"/>
      <c r="C98" s="22"/>
      <c r="D98" s="54" t="str">
        <f aca="false">IFERROR(VLOOKUP(C98,المخزن!$B$2:$H$201,2,FALSE()),"")</f>
        <v/>
      </c>
      <c r="E98" s="24"/>
      <c r="F98" s="26"/>
      <c r="G98" s="27" t="str">
        <f aca="false">IF(C98="","",E98*F98)</f>
        <v/>
      </c>
      <c r="H98" s="55" t="n">
        <f aca="false">IFERROR(VLOOKUP(C98,المخزن!$B$2:$H$201,7,FALSE()),0)</f>
        <v>0</v>
      </c>
      <c r="I98" s="27" t="str">
        <f aca="false">IF(C98="","",E98*H98)</f>
        <v/>
      </c>
    </row>
    <row r="99" customFormat="false" ht="15" hidden="false" customHeight="true" outlineLevel="0" collapsed="false">
      <c r="A99" s="21" t="str">
        <f aca="false">IF(C99="","",ROW()-1)</f>
        <v/>
      </c>
      <c r="B99" s="53"/>
      <c r="C99" s="22"/>
      <c r="D99" s="54" t="str">
        <f aca="false">IFERROR(VLOOKUP(C99,المخزن!$B$2:$H$201,2,FALSE()),"")</f>
        <v/>
      </c>
      <c r="E99" s="24"/>
      <c r="F99" s="26"/>
      <c r="G99" s="27" t="str">
        <f aca="false">IF(C99="","",E99*F99)</f>
        <v/>
      </c>
      <c r="H99" s="55" t="n">
        <f aca="false">IFERROR(VLOOKUP(C99,المخزن!$B$2:$H$201,7,FALSE()),0)</f>
        <v>0</v>
      </c>
      <c r="I99" s="27" t="str">
        <f aca="false">IF(C99="","",E99*H99)</f>
        <v/>
      </c>
    </row>
    <row r="100" customFormat="false" ht="15" hidden="false" customHeight="true" outlineLevel="0" collapsed="false">
      <c r="A100" s="21" t="str">
        <f aca="false">IF(C100="","",ROW()-1)</f>
        <v/>
      </c>
      <c r="B100" s="53"/>
      <c r="C100" s="22"/>
      <c r="D100" s="54" t="str">
        <f aca="false">IFERROR(VLOOKUP(C100,المخزن!$B$2:$H$201,2,FALSE()),"")</f>
        <v/>
      </c>
      <c r="E100" s="24"/>
      <c r="F100" s="26"/>
      <c r="G100" s="27" t="str">
        <f aca="false">IF(C100="","",E100*F100)</f>
        <v/>
      </c>
      <c r="H100" s="55" t="n">
        <f aca="false">IFERROR(VLOOKUP(C100,المخزن!$B$2:$H$201,7,FALSE()),0)</f>
        <v>0</v>
      </c>
      <c r="I100" s="27" t="str">
        <f aca="false">IF(C100="","",E100*H100)</f>
        <v/>
      </c>
    </row>
    <row r="101" customFormat="false" ht="15" hidden="false" customHeight="true" outlineLevel="0" collapsed="false">
      <c r="A101" s="21" t="str">
        <f aca="false">IF(C101="","",ROW()-1)</f>
        <v/>
      </c>
      <c r="B101" s="53"/>
      <c r="C101" s="22"/>
      <c r="D101" s="54" t="str">
        <f aca="false">IFERROR(VLOOKUP(C101,المخزن!$B$2:$H$201,2,FALSE()),"")</f>
        <v/>
      </c>
      <c r="E101" s="24"/>
      <c r="F101" s="26"/>
      <c r="G101" s="27" t="str">
        <f aca="false">IF(C101="","",E101*F101)</f>
        <v/>
      </c>
      <c r="H101" s="55" t="n">
        <f aca="false">IFERROR(VLOOKUP(C101,المخزن!$B$2:$H$201,7,FALSE()),0)</f>
        <v>0</v>
      </c>
      <c r="I101" s="27" t="str">
        <f aca="false">IF(C101="","",E101*H101)</f>
        <v/>
      </c>
    </row>
    <row r="102" customFormat="false" ht="15" hidden="false" customHeight="true" outlineLevel="0" collapsed="false">
      <c r="A102" s="21" t="str">
        <f aca="false">IF(C102="","",ROW()-1)</f>
        <v/>
      </c>
      <c r="B102" s="53"/>
      <c r="C102" s="22"/>
      <c r="D102" s="54" t="str">
        <f aca="false">IFERROR(VLOOKUP(C102,المخزن!$B$2:$H$201,2,FALSE()),"")</f>
        <v/>
      </c>
      <c r="E102" s="24"/>
      <c r="F102" s="26"/>
      <c r="G102" s="27" t="str">
        <f aca="false">IF(C102="","",E102*F102)</f>
        <v/>
      </c>
      <c r="H102" s="55" t="n">
        <f aca="false">IFERROR(VLOOKUP(C102,المخزن!$B$2:$H$201,7,FALSE()),0)</f>
        <v>0</v>
      </c>
      <c r="I102" s="27" t="str">
        <f aca="false">IF(C102="","",E102*H102)</f>
        <v/>
      </c>
    </row>
    <row r="103" customFormat="false" ht="15" hidden="false" customHeight="true" outlineLevel="0" collapsed="false">
      <c r="A103" s="21" t="str">
        <f aca="false">IF(C103="","",ROW()-1)</f>
        <v/>
      </c>
      <c r="B103" s="53"/>
      <c r="C103" s="22"/>
      <c r="D103" s="54" t="str">
        <f aca="false">IFERROR(VLOOKUP(C103,المخزن!$B$2:$H$201,2,FALSE()),"")</f>
        <v/>
      </c>
      <c r="E103" s="24"/>
      <c r="F103" s="26"/>
      <c r="G103" s="27" t="str">
        <f aca="false">IF(C103="","",E103*F103)</f>
        <v/>
      </c>
      <c r="H103" s="55" t="n">
        <f aca="false">IFERROR(VLOOKUP(C103,المخزن!$B$2:$H$201,7,FALSE()),0)</f>
        <v>0</v>
      </c>
      <c r="I103" s="27" t="str">
        <f aca="false">IF(C103="","",E103*H103)</f>
        <v/>
      </c>
    </row>
    <row r="104" customFormat="false" ht="15" hidden="false" customHeight="true" outlineLevel="0" collapsed="false">
      <c r="A104" s="21" t="str">
        <f aca="false">IF(C104="","",ROW()-1)</f>
        <v/>
      </c>
      <c r="B104" s="53"/>
      <c r="C104" s="22"/>
      <c r="D104" s="54" t="str">
        <f aca="false">IFERROR(VLOOKUP(C104,المخزن!$B$2:$H$201,2,FALSE()),"")</f>
        <v/>
      </c>
      <c r="E104" s="24"/>
      <c r="F104" s="26"/>
      <c r="G104" s="27" t="str">
        <f aca="false">IF(C104="","",E104*F104)</f>
        <v/>
      </c>
      <c r="H104" s="55" t="n">
        <f aca="false">IFERROR(VLOOKUP(C104,المخزن!$B$2:$H$201,7,FALSE()),0)</f>
        <v>0</v>
      </c>
      <c r="I104" s="27" t="str">
        <f aca="false">IF(C104="","",E104*H104)</f>
        <v/>
      </c>
    </row>
    <row r="105" customFormat="false" ht="15" hidden="false" customHeight="true" outlineLevel="0" collapsed="false">
      <c r="A105" s="21" t="str">
        <f aca="false">IF(C105="","",ROW()-1)</f>
        <v/>
      </c>
      <c r="B105" s="53"/>
      <c r="C105" s="22"/>
      <c r="D105" s="54" t="str">
        <f aca="false">IFERROR(VLOOKUP(C105,المخزن!$B$2:$H$201,2,FALSE()),"")</f>
        <v/>
      </c>
      <c r="E105" s="24"/>
      <c r="F105" s="26"/>
      <c r="G105" s="27" t="str">
        <f aca="false">IF(C105="","",E105*F105)</f>
        <v/>
      </c>
      <c r="H105" s="55" t="n">
        <f aca="false">IFERROR(VLOOKUP(C105,المخزن!$B$2:$H$201,7,FALSE()),0)</f>
        <v>0</v>
      </c>
      <c r="I105" s="27" t="str">
        <f aca="false">IF(C105="","",E105*H105)</f>
        <v/>
      </c>
    </row>
    <row r="106" customFormat="false" ht="15" hidden="false" customHeight="true" outlineLevel="0" collapsed="false">
      <c r="A106" s="21" t="str">
        <f aca="false">IF(C106="","",ROW()-1)</f>
        <v/>
      </c>
      <c r="B106" s="53"/>
      <c r="C106" s="22"/>
      <c r="D106" s="54" t="str">
        <f aca="false">IFERROR(VLOOKUP(C106,المخزن!$B$2:$H$201,2,FALSE()),"")</f>
        <v/>
      </c>
      <c r="E106" s="24"/>
      <c r="F106" s="26"/>
      <c r="G106" s="27" t="str">
        <f aca="false">IF(C106="","",E106*F106)</f>
        <v/>
      </c>
      <c r="H106" s="55" t="n">
        <f aca="false">IFERROR(VLOOKUP(C106,المخزن!$B$2:$H$201,7,FALSE()),0)</f>
        <v>0</v>
      </c>
      <c r="I106" s="27" t="str">
        <f aca="false">IF(C106="","",E106*H106)</f>
        <v/>
      </c>
    </row>
    <row r="107" customFormat="false" ht="15" hidden="false" customHeight="true" outlineLevel="0" collapsed="false">
      <c r="A107" s="21" t="str">
        <f aca="false">IF(C107="","",ROW()-1)</f>
        <v/>
      </c>
      <c r="B107" s="53"/>
      <c r="C107" s="22"/>
      <c r="D107" s="54" t="str">
        <f aca="false">IFERROR(VLOOKUP(C107,المخزن!$B$2:$H$201,2,FALSE()),"")</f>
        <v/>
      </c>
      <c r="E107" s="24"/>
      <c r="F107" s="26"/>
      <c r="G107" s="27" t="str">
        <f aca="false">IF(C107="","",E107*F107)</f>
        <v/>
      </c>
      <c r="H107" s="55" t="n">
        <f aca="false">IFERROR(VLOOKUP(C107,المخزن!$B$2:$H$201,7,FALSE()),0)</f>
        <v>0</v>
      </c>
      <c r="I107" s="27" t="str">
        <f aca="false">IF(C107="","",E107*H107)</f>
        <v/>
      </c>
    </row>
    <row r="108" customFormat="false" ht="15" hidden="false" customHeight="true" outlineLevel="0" collapsed="false">
      <c r="A108" s="21" t="str">
        <f aca="false">IF(C108="","",ROW()-1)</f>
        <v/>
      </c>
      <c r="B108" s="53"/>
      <c r="C108" s="22"/>
      <c r="D108" s="54" t="str">
        <f aca="false">IFERROR(VLOOKUP(C108,المخزن!$B$2:$H$201,2,FALSE()),"")</f>
        <v/>
      </c>
      <c r="E108" s="24"/>
      <c r="F108" s="26"/>
      <c r="G108" s="27" t="str">
        <f aca="false">IF(C108="","",E108*F108)</f>
        <v/>
      </c>
      <c r="H108" s="55" t="n">
        <f aca="false">IFERROR(VLOOKUP(C108,المخزن!$B$2:$H$201,7,FALSE()),0)</f>
        <v>0</v>
      </c>
      <c r="I108" s="27" t="str">
        <f aca="false">IF(C108="","",E108*H108)</f>
        <v/>
      </c>
    </row>
    <row r="109" customFormat="false" ht="15" hidden="false" customHeight="true" outlineLevel="0" collapsed="false">
      <c r="A109" s="21" t="str">
        <f aca="false">IF(C109="","",ROW()-1)</f>
        <v/>
      </c>
      <c r="B109" s="53"/>
      <c r="C109" s="22"/>
      <c r="D109" s="54" t="str">
        <f aca="false">IFERROR(VLOOKUP(C109,المخزن!$B$2:$H$201,2,FALSE()),"")</f>
        <v/>
      </c>
      <c r="E109" s="24"/>
      <c r="F109" s="26"/>
      <c r="G109" s="27" t="str">
        <f aca="false">IF(C109="","",E109*F109)</f>
        <v/>
      </c>
      <c r="H109" s="55" t="n">
        <f aca="false">IFERROR(VLOOKUP(C109,المخزن!$B$2:$H$201,7,FALSE()),0)</f>
        <v>0</v>
      </c>
      <c r="I109" s="27" t="str">
        <f aca="false">IF(C109="","",E109*H109)</f>
        <v/>
      </c>
    </row>
    <row r="110" customFormat="false" ht="15" hidden="false" customHeight="true" outlineLevel="0" collapsed="false">
      <c r="A110" s="21" t="str">
        <f aca="false">IF(C110="","",ROW()-1)</f>
        <v/>
      </c>
      <c r="B110" s="53"/>
      <c r="C110" s="22"/>
      <c r="D110" s="54" t="str">
        <f aca="false">IFERROR(VLOOKUP(C110,المخزن!$B$2:$H$201,2,FALSE()),"")</f>
        <v/>
      </c>
      <c r="E110" s="24"/>
      <c r="F110" s="26"/>
      <c r="G110" s="27" t="str">
        <f aca="false">IF(C110="","",E110*F110)</f>
        <v/>
      </c>
      <c r="H110" s="55" t="n">
        <f aca="false">IFERROR(VLOOKUP(C110,المخزن!$B$2:$H$201,7,FALSE()),0)</f>
        <v>0</v>
      </c>
      <c r="I110" s="27" t="str">
        <f aca="false">IF(C110="","",E110*H110)</f>
        <v/>
      </c>
    </row>
    <row r="111" customFormat="false" ht="15" hidden="false" customHeight="true" outlineLevel="0" collapsed="false">
      <c r="A111" s="21" t="str">
        <f aca="false">IF(C111="","",ROW()-1)</f>
        <v/>
      </c>
      <c r="B111" s="53"/>
      <c r="C111" s="22"/>
      <c r="D111" s="54" t="str">
        <f aca="false">IFERROR(VLOOKUP(C111,المخزن!$B$2:$H$201,2,FALSE()),"")</f>
        <v/>
      </c>
      <c r="E111" s="24"/>
      <c r="F111" s="26"/>
      <c r="G111" s="27" t="str">
        <f aca="false">IF(C111="","",E111*F111)</f>
        <v/>
      </c>
      <c r="H111" s="55" t="n">
        <f aca="false">IFERROR(VLOOKUP(C111,المخزن!$B$2:$H$201,7,FALSE()),0)</f>
        <v>0</v>
      </c>
      <c r="I111" s="27" t="str">
        <f aca="false">IF(C111="","",E111*H111)</f>
        <v/>
      </c>
    </row>
    <row r="112" customFormat="false" ht="15" hidden="false" customHeight="true" outlineLevel="0" collapsed="false">
      <c r="A112" s="21" t="str">
        <f aca="false">IF(C112="","",ROW()-1)</f>
        <v/>
      </c>
      <c r="B112" s="53"/>
      <c r="C112" s="22"/>
      <c r="D112" s="54" t="str">
        <f aca="false">IFERROR(VLOOKUP(C112,المخزن!$B$2:$H$201,2,FALSE()),"")</f>
        <v/>
      </c>
      <c r="E112" s="24"/>
      <c r="F112" s="26"/>
      <c r="G112" s="27" t="str">
        <f aca="false">IF(C112="","",E112*F112)</f>
        <v/>
      </c>
      <c r="H112" s="55" t="n">
        <f aca="false">IFERROR(VLOOKUP(C112,المخزن!$B$2:$H$201,7,FALSE()),0)</f>
        <v>0</v>
      </c>
      <c r="I112" s="27" t="str">
        <f aca="false">IF(C112="","",E112*H112)</f>
        <v/>
      </c>
    </row>
    <row r="113" customFormat="false" ht="15" hidden="false" customHeight="true" outlineLevel="0" collapsed="false">
      <c r="A113" s="21" t="str">
        <f aca="false">IF(C113="","",ROW()-1)</f>
        <v/>
      </c>
      <c r="B113" s="53"/>
      <c r="C113" s="22"/>
      <c r="D113" s="54" t="str">
        <f aca="false">IFERROR(VLOOKUP(C113,المخزن!$B$2:$H$201,2,FALSE()),"")</f>
        <v/>
      </c>
      <c r="E113" s="24"/>
      <c r="F113" s="26"/>
      <c r="G113" s="27" t="str">
        <f aca="false">IF(C113="","",E113*F113)</f>
        <v/>
      </c>
      <c r="H113" s="55" t="n">
        <f aca="false">IFERROR(VLOOKUP(C113,المخزن!$B$2:$H$201,7,FALSE()),0)</f>
        <v>0</v>
      </c>
      <c r="I113" s="27" t="str">
        <f aca="false">IF(C113="","",E113*H113)</f>
        <v/>
      </c>
    </row>
    <row r="114" customFormat="false" ht="15" hidden="false" customHeight="true" outlineLevel="0" collapsed="false">
      <c r="A114" s="21" t="str">
        <f aca="false">IF(C114="","",ROW()-1)</f>
        <v/>
      </c>
      <c r="B114" s="53"/>
      <c r="C114" s="22"/>
      <c r="D114" s="54" t="str">
        <f aca="false">IFERROR(VLOOKUP(C114,المخزن!$B$2:$H$201,2,FALSE()),"")</f>
        <v/>
      </c>
      <c r="E114" s="24"/>
      <c r="F114" s="26"/>
      <c r="G114" s="27" t="str">
        <f aca="false">IF(C114="","",E114*F114)</f>
        <v/>
      </c>
      <c r="H114" s="55" t="n">
        <f aca="false">IFERROR(VLOOKUP(C114,المخزن!$B$2:$H$201,7,FALSE()),0)</f>
        <v>0</v>
      </c>
      <c r="I114" s="27" t="str">
        <f aca="false">IF(C114="","",E114*H114)</f>
        <v/>
      </c>
    </row>
    <row r="115" customFormat="false" ht="15" hidden="false" customHeight="true" outlineLevel="0" collapsed="false">
      <c r="A115" s="21" t="str">
        <f aca="false">IF(C115="","",ROW()-1)</f>
        <v/>
      </c>
      <c r="B115" s="53"/>
      <c r="C115" s="22"/>
      <c r="D115" s="54" t="str">
        <f aca="false">IFERROR(VLOOKUP(C115,المخزن!$B$2:$H$201,2,FALSE()),"")</f>
        <v/>
      </c>
      <c r="E115" s="24"/>
      <c r="F115" s="26"/>
      <c r="G115" s="27" t="str">
        <f aca="false">IF(C115="","",E115*F115)</f>
        <v/>
      </c>
      <c r="H115" s="55" t="n">
        <f aca="false">IFERROR(VLOOKUP(C115,المخزن!$B$2:$H$201,7,FALSE()),0)</f>
        <v>0</v>
      </c>
      <c r="I115" s="27" t="str">
        <f aca="false">IF(C115="","",E115*H115)</f>
        <v/>
      </c>
    </row>
    <row r="116" customFormat="false" ht="15" hidden="false" customHeight="true" outlineLevel="0" collapsed="false">
      <c r="A116" s="21" t="str">
        <f aca="false">IF(C116="","",ROW()-1)</f>
        <v/>
      </c>
      <c r="B116" s="53"/>
      <c r="C116" s="22"/>
      <c r="D116" s="54" t="str">
        <f aca="false">IFERROR(VLOOKUP(C116,المخزن!$B$2:$H$201,2,FALSE()),"")</f>
        <v/>
      </c>
      <c r="E116" s="24"/>
      <c r="F116" s="26"/>
      <c r="G116" s="27" t="str">
        <f aca="false">IF(C116="","",E116*F116)</f>
        <v/>
      </c>
      <c r="H116" s="55" t="n">
        <f aca="false">IFERROR(VLOOKUP(C116,المخزن!$B$2:$H$201,7,FALSE()),0)</f>
        <v>0</v>
      </c>
      <c r="I116" s="27" t="str">
        <f aca="false">IF(C116="","",E116*H116)</f>
        <v/>
      </c>
    </row>
    <row r="117" customFormat="false" ht="15" hidden="false" customHeight="true" outlineLevel="0" collapsed="false">
      <c r="A117" s="21" t="str">
        <f aca="false">IF(C117="","",ROW()-1)</f>
        <v/>
      </c>
      <c r="B117" s="53"/>
      <c r="C117" s="22"/>
      <c r="D117" s="54" t="str">
        <f aca="false">IFERROR(VLOOKUP(C117,المخزن!$B$2:$H$201,2,FALSE()),"")</f>
        <v/>
      </c>
      <c r="E117" s="24"/>
      <c r="F117" s="26"/>
      <c r="G117" s="27" t="str">
        <f aca="false">IF(C117="","",E117*F117)</f>
        <v/>
      </c>
      <c r="H117" s="55" t="n">
        <f aca="false">IFERROR(VLOOKUP(C117,المخزن!$B$2:$H$201,7,FALSE()),0)</f>
        <v>0</v>
      </c>
      <c r="I117" s="27" t="str">
        <f aca="false">IF(C117="","",E117*H117)</f>
        <v/>
      </c>
    </row>
    <row r="118" customFormat="false" ht="15" hidden="false" customHeight="true" outlineLevel="0" collapsed="false">
      <c r="A118" s="21" t="str">
        <f aca="false">IF(C118="","",ROW()-1)</f>
        <v/>
      </c>
      <c r="B118" s="53"/>
      <c r="C118" s="22"/>
      <c r="D118" s="54" t="str">
        <f aca="false">IFERROR(VLOOKUP(C118,المخزن!$B$2:$H$201,2,FALSE()),"")</f>
        <v/>
      </c>
      <c r="E118" s="24"/>
      <c r="F118" s="26"/>
      <c r="G118" s="27" t="str">
        <f aca="false">IF(C118="","",E118*F118)</f>
        <v/>
      </c>
      <c r="H118" s="55" t="n">
        <f aca="false">IFERROR(VLOOKUP(C118,المخزن!$B$2:$H$201,7,FALSE()),0)</f>
        <v>0</v>
      </c>
      <c r="I118" s="27" t="str">
        <f aca="false">IF(C118="","",E118*H118)</f>
        <v/>
      </c>
    </row>
    <row r="119" customFormat="false" ht="15" hidden="false" customHeight="true" outlineLevel="0" collapsed="false">
      <c r="A119" s="21" t="str">
        <f aca="false">IF(C119="","",ROW()-1)</f>
        <v/>
      </c>
      <c r="B119" s="53"/>
      <c r="C119" s="22"/>
      <c r="D119" s="54" t="str">
        <f aca="false">IFERROR(VLOOKUP(C119,المخزن!$B$2:$H$201,2,FALSE()),"")</f>
        <v/>
      </c>
      <c r="E119" s="24"/>
      <c r="F119" s="26"/>
      <c r="G119" s="27" t="str">
        <f aca="false">IF(C119="","",E119*F119)</f>
        <v/>
      </c>
      <c r="H119" s="55" t="n">
        <f aca="false">IFERROR(VLOOKUP(C119,المخزن!$B$2:$H$201,7,FALSE()),0)</f>
        <v>0</v>
      </c>
      <c r="I119" s="27" t="str">
        <f aca="false">IF(C119="","",E119*H119)</f>
        <v/>
      </c>
    </row>
    <row r="120" customFormat="false" ht="15" hidden="false" customHeight="true" outlineLevel="0" collapsed="false">
      <c r="A120" s="21" t="str">
        <f aca="false">IF(C120="","",ROW()-1)</f>
        <v/>
      </c>
      <c r="B120" s="53"/>
      <c r="C120" s="22"/>
      <c r="D120" s="54" t="str">
        <f aca="false">IFERROR(VLOOKUP(C120,المخزن!$B$2:$H$201,2,FALSE()),"")</f>
        <v/>
      </c>
      <c r="E120" s="24"/>
      <c r="F120" s="26"/>
      <c r="G120" s="27" t="str">
        <f aca="false">IF(C120="","",E120*F120)</f>
        <v/>
      </c>
      <c r="H120" s="55" t="n">
        <f aca="false">IFERROR(VLOOKUP(C120,المخزن!$B$2:$H$201,7,FALSE()),0)</f>
        <v>0</v>
      </c>
      <c r="I120" s="27" t="str">
        <f aca="false">IF(C120="","",E120*H120)</f>
        <v/>
      </c>
    </row>
    <row r="121" customFormat="false" ht="15" hidden="false" customHeight="true" outlineLevel="0" collapsed="false">
      <c r="A121" s="21" t="str">
        <f aca="false">IF(C121="","",ROW()-1)</f>
        <v/>
      </c>
      <c r="B121" s="53"/>
      <c r="C121" s="22"/>
      <c r="D121" s="54" t="str">
        <f aca="false">IFERROR(VLOOKUP(C121,المخزن!$B$2:$H$201,2,FALSE()),"")</f>
        <v/>
      </c>
      <c r="E121" s="24"/>
      <c r="F121" s="26"/>
      <c r="G121" s="27" t="str">
        <f aca="false">IF(C121="","",E121*F121)</f>
        <v/>
      </c>
      <c r="H121" s="55" t="n">
        <f aca="false">IFERROR(VLOOKUP(C121,المخزن!$B$2:$H$201,7,FALSE()),0)</f>
        <v>0</v>
      </c>
      <c r="I121" s="27" t="str">
        <f aca="false">IF(C121="","",E121*H121)</f>
        <v/>
      </c>
    </row>
    <row r="122" customFormat="false" ht="15" hidden="false" customHeight="true" outlineLevel="0" collapsed="false">
      <c r="A122" s="21" t="str">
        <f aca="false">IF(C122="","",ROW()-1)</f>
        <v/>
      </c>
      <c r="B122" s="53"/>
      <c r="C122" s="22"/>
      <c r="D122" s="54" t="str">
        <f aca="false">IFERROR(VLOOKUP(C122,المخزن!$B$2:$H$201,2,FALSE()),"")</f>
        <v/>
      </c>
      <c r="E122" s="24"/>
      <c r="F122" s="26"/>
      <c r="G122" s="27" t="str">
        <f aca="false">IF(C122="","",E122*F122)</f>
        <v/>
      </c>
      <c r="H122" s="55" t="n">
        <f aca="false">IFERROR(VLOOKUP(C122,المخزن!$B$2:$H$201,7,FALSE()),0)</f>
        <v>0</v>
      </c>
      <c r="I122" s="27" t="str">
        <f aca="false">IF(C122="","",E122*H122)</f>
        <v/>
      </c>
    </row>
    <row r="123" customFormat="false" ht="15" hidden="false" customHeight="true" outlineLevel="0" collapsed="false">
      <c r="A123" s="21" t="str">
        <f aca="false">IF(C123="","",ROW()-1)</f>
        <v/>
      </c>
      <c r="B123" s="53"/>
      <c r="C123" s="22"/>
      <c r="D123" s="54" t="str">
        <f aca="false">IFERROR(VLOOKUP(C123,المخزن!$B$2:$H$201,2,FALSE()),"")</f>
        <v/>
      </c>
      <c r="E123" s="24"/>
      <c r="F123" s="26"/>
      <c r="G123" s="27" t="str">
        <f aca="false">IF(C123="","",E123*F123)</f>
        <v/>
      </c>
      <c r="H123" s="55" t="n">
        <f aca="false">IFERROR(VLOOKUP(C123,المخزن!$B$2:$H$201,7,FALSE()),0)</f>
        <v>0</v>
      </c>
      <c r="I123" s="27" t="str">
        <f aca="false">IF(C123="","",E123*H123)</f>
        <v/>
      </c>
    </row>
    <row r="124" customFormat="false" ht="15" hidden="false" customHeight="true" outlineLevel="0" collapsed="false">
      <c r="A124" s="21" t="str">
        <f aca="false">IF(C124="","",ROW()-1)</f>
        <v/>
      </c>
      <c r="B124" s="53"/>
      <c r="C124" s="22"/>
      <c r="D124" s="54" t="str">
        <f aca="false">IFERROR(VLOOKUP(C124,المخزن!$B$2:$H$201,2,FALSE()),"")</f>
        <v/>
      </c>
      <c r="E124" s="24"/>
      <c r="F124" s="26"/>
      <c r="G124" s="27" t="str">
        <f aca="false">IF(C124="","",E124*F124)</f>
        <v/>
      </c>
      <c r="H124" s="55" t="n">
        <f aca="false">IFERROR(VLOOKUP(C124,المخزن!$B$2:$H$201,7,FALSE()),0)</f>
        <v>0</v>
      </c>
      <c r="I124" s="27" t="str">
        <f aca="false">IF(C124="","",E124*H124)</f>
        <v/>
      </c>
    </row>
    <row r="125" customFormat="false" ht="15" hidden="false" customHeight="true" outlineLevel="0" collapsed="false">
      <c r="A125" s="21" t="str">
        <f aca="false">IF(C125="","",ROW()-1)</f>
        <v/>
      </c>
      <c r="B125" s="53"/>
      <c r="C125" s="22"/>
      <c r="D125" s="54" t="str">
        <f aca="false">IFERROR(VLOOKUP(C125,المخزن!$B$2:$H$201,2,FALSE()),"")</f>
        <v/>
      </c>
      <c r="E125" s="24"/>
      <c r="F125" s="26"/>
      <c r="G125" s="27" t="str">
        <f aca="false">IF(C125="","",E125*F125)</f>
        <v/>
      </c>
      <c r="H125" s="55" t="n">
        <f aca="false">IFERROR(VLOOKUP(C125,المخزن!$B$2:$H$201,7,FALSE()),0)</f>
        <v>0</v>
      </c>
      <c r="I125" s="27" t="str">
        <f aca="false">IF(C125="","",E125*H125)</f>
        <v/>
      </c>
    </row>
    <row r="126" customFormat="false" ht="15" hidden="false" customHeight="true" outlineLevel="0" collapsed="false">
      <c r="A126" s="21" t="str">
        <f aca="false">IF(C126="","",ROW()-1)</f>
        <v/>
      </c>
      <c r="B126" s="53"/>
      <c r="C126" s="22"/>
      <c r="D126" s="54" t="str">
        <f aca="false">IFERROR(VLOOKUP(C126,المخزن!$B$2:$H$201,2,FALSE()),"")</f>
        <v/>
      </c>
      <c r="E126" s="24"/>
      <c r="F126" s="26"/>
      <c r="G126" s="27" t="str">
        <f aca="false">IF(C126="","",E126*F126)</f>
        <v/>
      </c>
      <c r="H126" s="55" t="n">
        <f aca="false">IFERROR(VLOOKUP(C126,المخزن!$B$2:$H$201,7,FALSE()),0)</f>
        <v>0</v>
      </c>
      <c r="I126" s="27" t="str">
        <f aca="false">IF(C126="","",E126*H126)</f>
        <v/>
      </c>
    </row>
    <row r="127" customFormat="false" ht="15" hidden="false" customHeight="true" outlineLevel="0" collapsed="false">
      <c r="A127" s="21" t="str">
        <f aca="false">IF(C127="","",ROW()-1)</f>
        <v/>
      </c>
      <c r="B127" s="53"/>
      <c r="C127" s="22"/>
      <c r="D127" s="54" t="str">
        <f aca="false">IFERROR(VLOOKUP(C127,المخزن!$B$2:$H$201,2,FALSE()),"")</f>
        <v/>
      </c>
      <c r="E127" s="24"/>
      <c r="F127" s="26"/>
      <c r="G127" s="27" t="str">
        <f aca="false">IF(C127="","",E127*F127)</f>
        <v/>
      </c>
      <c r="H127" s="55" t="n">
        <f aca="false">IFERROR(VLOOKUP(C127,المخزن!$B$2:$H$201,7,FALSE()),0)</f>
        <v>0</v>
      </c>
      <c r="I127" s="27" t="str">
        <f aca="false">IF(C127="","",E127*H127)</f>
        <v/>
      </c>
    </row>
    <row r="128" customFormat="false" ht="15" hidden="false" customHeight="true" outlineLevel="0" collapsed="false">
      <c r="A128" s="21" t="str">
        <f aca="false">IF(C128="","",ROW()-1)</f>
        <v/>
      </c>
      <c r="B128" s="53"/>
      <c r="C128" s="22"/>
      <c r="D128" s="54" t="str">
        <f aca="false">IFERROR(VLOOKUP(C128,المخزن!$B$2:$H$201,2,FALSE()),"")</f>
        <v/>
      </c>
      <c r="E128" s="24"/>
      <c r="F128" s="26"/>
      <c r="G128" s="27" t="str">
        <f aca="false">IF(C128="","",E128*F128)</f>
        <v/>
      </c>
      <c r="H128" s="55" t="n">
        <f aca="false">IFERROR(VLOOKUP(C128,المخزن!$B$2:$H$201,7,FALSE()),0)</f>
        <v>0</v>
      </c>
      <c r="I128" s="27" t="str">
        <f aca="false">IF(C128="","",E128*H128)</f>
        <v/>
      </c>
    </row>
    <row r="129" customFormat="false" ht="15" hidden="false" customHeight="true" outlineLevel="0" collapsed="false">
      <c r="A129" s="21" t="str">
        <f aca="false">IF(C129="","",ROW()-1)</f>
        <v/>
      </c>
      <c r="B129" s="53"/>
      <c r="C129" s="22"/>
      <c r="D129" s="54" t="str">
        <f aca="false">IFERROR(VLOOKUP(C129,المخزن!$B$2:$H$201,2,FALSE()),"")</f>
        <v/>
      </c>
      <c r="E129" s="24"/>
      <c r="F129" s="26"/>
      <c r="G129" s="27" t="str">
        <f aca="false">IF(C129="","",E129*F129)</f>
        <v/>
      </c>
      <c r="H129" s="55" t="n">
        <f aca="false">IFERROR(VLOOKUP(C129,المخزن!$B$2:$H$201,7,FALSE()),0)</f>
        <v>0</v>
      </c>
      <c r="I129" s="27" t="str">
        <f aca="false">IF(C129="","",E129*H129)</f>
        <v/>
      </c>
    </row>
    <row r="130" customFormat="false" ht="15" hidden="false" customHeight="true" outlineLevel="0" collapsed="false">
      <c r="A130" s="21" t="str">
        <f aca="false">IF(C130="","",ROW()-1)</f>
        <v/>
      </c>
      <c r="B130" s="53"/>
      <c r="C130" s="22"/>
      <c r="D130" s="54" t="str">
        <f aca="false">IFERROR(VLOOKUP(C130,المخزن!$B$2:$H$201,2,FALSE()),"")</f>
        <v/>
      </c>
      <c r="E130" s="24"/>
      <c r="F130" s="26"/>
      <c r="G130" s="27" t="str">
        <f aca="false">IF(C130="","",E130*F130)</f>
        <v/>
      </c>
      <c r="H130" s="55" t="n">
        <f aca="false">IFERROR(VLOOKUP(C130,المخزن!$B$2:$H$201,7,FALSE()),0)</f>
        <v>0</v>
      </c>
      <c r="I130" s="27" t="str">
        <f aca="false">IF(C130="","",E130*H130)</f>
        <v/>
      </c>
    </row>
    <row r="131" customFormat="false" ht="15" hidden="false" customHeight="true" outlineLevel="0" collapsed="false">
      <c r="A131" s="21" t="str">
        <f aca="false">IF(C131="","",ROW()-1)</f>
        <v/>
      </c>
      <c r="B131" s="53"/>
      <c r="C131" s="22"/>
      <c r="D131" s="54" t="str">
        <f aca="false">IFERROR(VLOOKUP(C131,المخزن!$B$2:$H$201,2,FALSE()),"")</f>
        <v/>
      </c>
      <c r="E131" s="24"/>
      <c r="F131" s="26"/>
      <c r="G131" s="27" t="str">
        <f aca="false">IF(C131="","",E131*F131)</f>
        <v/>
      </c>
      <c r="H131" s="55" t="n">
        <f aca="false">IFERROR(VLOOKUP(C131,المخزن!$B$2:$H$201,7,FALSE()),0)</f>
        <v>0</v>
      </c>
      <c r="I131" s="27" t="str">
        <f aca="false">IF(C131="","",E131*H131)</f>
        <v/>
      </c>
    </row>
    <row r="132" customFormat="false" ht="15" hidden="false" customHeight="true" outlineLevel="0" collapsed="false">
      <c r="A132" s="21" t="str">
        <f aca="false">IF(C132="","",ROW()-1)</f>
        <v/>
      </c>
      <c r="B132" s="53"/>
      <c r="C132" s="22"/>
      <c r="D132" s="54" t="str">
        <f aca="false">IFERROR(VLOOKUP(C132,المخزن!$B$2:$H$201,2,FALSE()),"")</f>
        <v/>
      </c>
      <c r="E132" s="24"/>
      <c r="F132" s="26"/>
      <c r="G132" s="27" t="str">
        <f aca="false">IF(C132="","",E132*F132)</f>
        <v/>
      </c>
      <c r="H132" s="55" t="n">
        <f aca="false">IFERROR(VLOOKUP(C132,المخزن!$B$2:$H$201,7,FALSE()),0)</f>
        <v>0</v>
      </c>
      <c r="I132" s="27" t="str">
        <f aca="false">IF(C132="","",E132*H132)</f>
        <v/>
      </c>
    </row>
    <row r="133" customFormat="false" ht="15" hidden="false" customHeight="true" outlineLevel="0" collapsed="false">
      <c r="A133" s="21" t="str">
        <f aca="false">IF(C133="","",ROW()-1)</f>
        <v/>
      </c>
      <c r="B133" s="53"/>
      <c r="C133" s="22"/>
      <c r="D133" s="54" t="str">
        <f aca="false">IFERROR(VLOOKUP(C133,المخزن!$B$2:$H$201,2,FALSE()),"")</f>
        <v/>
      </c>
      <c r="E133" s="24"/>
      <c r="F133" s="26"/>
      <c r="G133" s="27" t="str">
        <f aca="false">IF(C133="","",E133*F133)</f>
        <v/>
      </c>
      <c r="H133" s="55" t="n">
        <f aca="false">IFERROR(VLOOKUP(C133,المخزن!$B$2:$H$201,7,FALSE()),0)</f>
        <v>0</v>
      </c>
      <c r="I133" s="27" t="str">
        <f aca="false">IF(C133="","",E133*H133)</f>
        <v/>
      </c>
    </row>
    <row r="134" customFormat="false" ht="15" hidden="false" customHeight="true" outlineLevel="0" collapsed="false">
      <c r="A134" s="21" t="str">
        <f aca="false">IF(C134="","",ROW()-1)</f>
        <v/>
      </c>
      <c r="B134" s="53"/>
      <c r="C134" s="22"/>
      <c r="D134" s="54" t="str">
        <f aca="false">IFERROR(VLOOKUP(C134,المخزن!$B$2:$H$201,2,FALSE()),"")</f>
        <v/>
      </c>
      <c r="E134" s="24"/>
      <c r="F134" s="26"/>
      <c r="G134" s="27" t="str">
        <f aca="false">IF(C134="","",E134*F134)</f>
        <v/>
      </c>
      <c r="H134" s="55" t="n">
        <f aca="false">IFERROR(VLOOKUP(C134,المخزن!$B$2:$H$201,7,FALSE()),0)</f>
        <v>0</v>
      </c>
      <c r="I134" s="27" t="str">
        <f aca="false">IF(C134="","",E134*H134)</f>
        <v/>
      </c>
    </row>
    <row r="135" customFormat="false" ht="15" hidden="false" customHeight="true" outlineLevel="0" collapsed="false">
      <c r="A135" s="21" t="str">
        <f aca="false">IF(C135="","",ROW()-1)</f>
        <v/>
      </c>
      <c r="B135" s="53"/>
      <c r="C135" s="22"/>
      <c r="D135" s="54" t="str">
        <f aca="false">IFERROR(VLOOKUP(C135,المخزن!$B$2:$H$201,2,FALSE()),"")</f>
        <v/>
      </c>
      <c r="E135" s="24"/>
      <c r="F135" s="26"/>
      <c r="G135" s="27" t="str">
        <f aca="false">IF(C135="","",E135*F135)</f>
        <v/>
      </c>
      <c r="H135" s="55" t="n">
        <f aca="false">IFERROR(VLOOKUP(C135,المخزن!$B$2:$H$201,7,FALSE()),0)</f>
        <v>0</v>
      </c>
      <c r="I135" s="27" t="str">
        <f aca="false">IF(C135="","",E135*H135)</f>
        <v/>
      </c>
    </row>
    <row r="136" customFormat="false" ht="15" hidden="false" customHeight="true" outlineLevel="0" collapsed="false">
      <c r="A136" s="21" t="str">
        <f aca="false">IF(C136="","",ROW()-1)</f>
        <v/>
      </c>
      <c r="B136" s="53"/>
      <c r="C136" s="22"/>
      <c r="D136" s="54" t="str">
        <f aca="false">IFERROR(VLOOKUP(C136,المخزن!$B$2:$H$201,2,FALSE()),"")</f>
        <v/>
      </c>
      <c r="E136" s="24"/>
      <c r="F136" s="26"/>
      <c r="G136" s="27" t="str">
        <f aca="false">IF(C136="","",E136*F136)</f>
        <v/>
      </c>
      <c r="H136" s="55" t="n">
        <f aca="false">IFERROR(VLOOKUP(C136,المخزن!$B$2:$H$201,7,FALSE()),0)</f>
        <v>0</v>
      </c>
      <c r="I136" s="27" t="str">
        <f aca="false">IF(C136="","",E136*H136)</f>
        <v/>
      </c>
    </row>
    <row r="137" customFormat="false" ht="15" hidden="false" customHeight="true" outlineLevel="0" collapsed="false">
      <c r="A137" s="21" t="str">
        <f aca="false">IF(C137="","",ROW()-1)</f>
        <v/>
      </c>
      <c r="B137" s="53"/>
      <c r="C137" s="22"/>
      <c r="D137" s="54" t="str">
        <f aca="false">IFERROR(VLOOKUP(C137,المخزن!$B$2:$H$201,2,FALSE()),"")</f>
        <v/>
      </c>
      <c r="E137" s="24"/>
      <c r="F137" s="26"/>
      <c r="G137" s="27" t="str">
        <f aca="false">IF(C137="","",E137*F137)</f>
        <v/>
      </c>
      <c r="H137" s="55" t="n">
        <f aca="false">IFERROR(VLOOKUP(C137,المخزن!$B$2:$H$201,7,FALSE()),0)</f>
        <v>0</v>
      </c>
      <c r="I137" s="27" t="str">
        <f aca="false">IF(C137="","",E137*H137)</f>
        <v/>
      </c>
    </row>
    <row r="138" customFormat="false" ht="15" hidden="false" customHeight="true" outlineLevel="0" collapsed="false">
      <c r="A138" s="21" t="str">
        <f aca="false">IF(C138="","",ROW()-1)</f>
        <v/>
      </c>
      <c r="B138" s="53"/>
      <c r="C138" s="22"/>
      <c r="D138" s="54" t="str">
        <f aca="false">IFERROR(VLOOKUP(C138,المخزن!$B$2:$H$201,2,FALSE()),"")</f>
        <v/>
      </c>
      <c r="E138" s="24"/>
      <c r="F138" s="26"/>
      <c r="G138" s="27" t="str">
        <f aca="false">IF(C138="","",E138*F138)</f>
        <v/>
      </c>
      <c r="H138" s="55" t="n">
        <f aca="false">IFERROR(VLOOKUP(C138,المخزن!$B$2:$H$201,7,FALSE()),0)</f>
        <v>0</v>
      </c>
      <c r="I138" s="27" t="str">
        <f aca="false">IF(C138="","",E138*H138)</f>
        <v/>
      </c>
    </row>
    <row r="139" customFormat="false" ht="15" hidden="false" customHeight="true" outlineLevel="0" collapsed="false">
      <c r="A139" s="21" t="str">
        <f aca="false">IF(C139="","",ROW()-1)</f>
        <v/>
      </c>
      <c r="B139" s="53"/>
      <c r="C139" s="22"/>
      <c r="D139" s="54" t="str">
        <f aca="false">IFERROR(VLOOKUP(C139,المخزن!$B$2:$H$201,2,FALSE()),"")</f>
        <v/>
      </c>
      <c r="E139" s="24"/>
      <c r="F139" s="26"/>
      <c r="G139" s="27" t="str">
        <f aca="false">IF(C139="","",E139*F139)</f>
        <v/>
      </c>
      <c r="H139" s="55" t="n">
        <f aca="false">IFERROR(VLOOKUP(C139,المخزن!$B$2:$H$201,7,FALSE()),0)</f>
        <v>0</v>
      </c>
      <c r="I139" s="27" t="str">
        <f aca="false">IF(C139="","",E139*H139)</f>
        <v/>
      </c>
    </row>
    <row r="140" customFormat="false" ht="15" hidden="false" customHeight="true" outlineLevel="0" collapsed="false">
      <c r="A140" s="21" t="str">
        <f aca="false">IF(C140="","",ROW()-1)</f>
        <v/>
      </c>
      <c r="B140" s="53"/>
      <c r="C140" s="22"/>
      <c r="D140" s="54" t="str">
        <f aca="false">IFERROR(VLOOKUP(C140,المخزن!$B$2:$H$201,2,FALSE()),"")</f>
        <v/>
      </c>
      <c r="E140" s="24"/>
      <c r="F140" s="26"/>
      <c r="G140" s="27" t="str">
        <f aca="false">IF(C140="","",E140*F140)</f>
        <v/>
      </c>
      <c r="H140" s="55" t="n">
        <f aca="false">IFERROR(VLOOKUP(C140,المخزن!$B$2:$H$201,7,FALSE()),0)</f>
        <v>0</v>
      </c>
      <c r="I140" s="27" t="str">
        <f aca="false">IF(C140="","",E140*H140)</f>
        <v/>
      </c>
    </row>
    <row r="141" customFormat="false" ht="15" hidden="false" customHeight="true" outlineLevel="0" collapsed="false">
      <c r="A141" s="21" t="str">
        <f aca="false">IF(C141="","",ROW()-1)</f>
        <v/>
      </c>
      <c r="B141" s="53"/>
      <c r="C141" s="22"/>
      <c r="D141" s="54" t="str">
        <f aca="false">IFERROR(VLOOKUP(C141,المخزن!$B$2:$H$201,2,FALSE()),"")</f>
        <v/>
      </c>
      <c r="E141" s="24"/>
      <c r="F141" s="26"/>
      <c r="G141" s="27" t="str">
        <f aca="false">IF(C141="","",E141*F141)</f>
        <v/>
      </c>
      <c r="H141" s="55" t="n">
        <f aca="false">IFERROR(VLOOKUP(C141,المخزن!$B$2:$H$201,7,FALSE()),0)</f>
        <v>0</v>
      </c>
      <c r="I141" s="27" t="str">
        <f aca="false">IF(C141="","",E141*H141)</f>
        <v/>
      </c>
    </row>
    <row r="142" customFormat="false" ht="15" hidden="false" customHeight="true" outlineLevel="0" collapsed="false">
      <c r="A142" s="21" t="str">
        <f aca="false">IF(C142="","",ROW()-1)</f>
        <v/>
      </c>
      <c r="B142" s="53"/>
      <c r="C142" s="22"/>
      <c r="D142" s="54" t="str">
        <f aca="false">IFERROR(VLOOKUP(C142,المخزن!$B$2:$H$201,2,FALSE()),"")</f>
        <v/>
      </c>
      <c r="E142" s="24"/>
      <c r="F142" s="26"/>
      <c r="G142" s="27" t="str">
        <f aca="false">IF(C142="","",E142*F142)</f>
        <v/>
      </c>
      <c r="H142" s="55" t="n">
        <f aca="false">IFERROR(VLOOKUP(C142,المخزن!$B$2:$H$201,7,FALSE()),0)</f>
        <v>0</v>
      </c>
      <c r="I142" s="27" t="str">
        <f aca="false">IF(C142="","",E142*H142)</f>
        <v/>
      </c>
    </row>
    <row r="143" customFormat="false" ht="15" hidden="false" customHeight="true" outlineLevel="0" collapsed="false">
      <c r="A143" s="21" t="str">
        <f aca="false">IF(C143="","",ROW()-1)</f>
        <v/>
      </c>
      <c r="B143" s="53"/>
      <c r="C143" s="22"/>
      <c r="D143" s="54" t="str">
        <f aca="false">IFERROR(VLOOKUP(C143,المخزن!$B$2:$H$201,2,FALSE()),"")</f>
        <v/>
      </c>
      <c r="E143" s="24"/>
      <c r="F143" s="26"/>
      <c r="G143" s="27" t="str">
        <f aca="false">IF(C143="","",E143*F143)</f>
        <v/>
      </c>
      <c r="H143" s="55" t="n">
        <f aca="false">IFERROR(VLOOKUP(C143,المخزن!$B$2:$H$201,7,FALSE()),0)</f>
        <v>0</v>
      </c>
      <c r="I143" s="27" t="str">
        <f aca="false">IF(C143="","",E143*H143)</f>
        <v/>
      </c>
    </row>
    <row r="144" customFormat="false" ht="15" hidden="false" customHeight="true" outlineLevel="0" collapsed="false">
      <c r="A144" s="21" t="str">
        <f aca="false">IF(C144="","",ROW()-1)</f>
        <v/>
      </c>
      <c r="B144" s="53"/>
      <c r="C144" s="22"/>
      <c r="D144" s="54" t="str">
        <f aca="false">IFERROR(VLOOKUP(C144,المخزن!$B$2:$H$201,2,FALSE()),"")</f>
        <v/>
      </c>
      <c r="E144" s="24"/>
      <c r="F144" s="26"/>
      <c r="G144" s="27" t="str">
        <f aca="false">IF(C144="","",E144*F144)</f>
        <v/>
      </c>
      <c r="H144" s="55" t="n">
        <f aca="false">IFERROR(VLOOKUP(C144,المخزن!$B$2:$H$201,7,FALSE()),0)</f>
        <v>0</v>
      </c>
      <c r="I144" s="27" t="str">
        <f aca="false">IF(C144="","",E144*H144)</f>
        <v/>
      </c>
    </row>
    <row r="145" customFormat="false" ht="15" hidden="false" customHeight="true" outlineLevel="0" collapsed="false">
      <c r="A145" s="21" t="str">
        <f aca="false">IF(C145="","",ROW()-1)</f>
        <v/>
      </c>
      <c r="B145" s="53"/>
      <c r="C145" s="22"/>
      <c r="D145" s="54" t="str">
        <f aca="false">IFERROR(VLOOKUP(C145,المخزن!$B$2:$H$201,2,FALSE()),"")</f>
        <v/>
      </c>
      <c r="E145" s="24"/>
      <c r="F145" s="26"/>
      <c r="G145" s="27" t="str">
        <f aca="false">IF(C145="","",E145*F145)</f>
        <v/>
      </c>
      <c r="H145" s="55" t="n">
        <f aca="false">IFERROR(VLOOKUP(C145,المخزن!$B$2:$H$201,7,FALSE()),0)</f>
        <v>0</v>
      </c>
      <c r="I145" s="27" t="str">
        <f aca="false">IF(C145="","",E145*H145)</f>
        <v/>
      </c>
    </row>
    <row r="146" customFormat="false" ht="15" hidden="false" customHeight="true" outlineLevel="0" collapsed="false">
      <c r="A146" s="21" t="str">
        <f aca="false">IF(C146="","",ROW()-1)</f>
        <v/>
      </c>
      <c r="B146" s="53"/>
      <c r="C146" s="22"/>
      <c r="D146" s="54" t="str">
        <f aca="false">IFERROR(VLOOKUP(C146,المخزن!$B$2:$H$201,2,FALSE()),"")</f>
        <v/>
      </c>
      <c r="E146" s="24"/>
      <c r="F146" s="26"/>
      <c r="G146" s="27" t="str">
        <f aca="false">IF(C146="","",E146*F146)</f>
        <v/>
      </c>
      <c r="H146" s="55" t="n">
        <f aca="false">IFERROR(VLOOKUP(C146,المخزن!$B$2:$H$201,7,FALSE()),0)</f>
        <v>0</v>
      </c>
      <c r="I146" s="27" t="str">
        <f aca="false">IF(C146="","",E146*H146)</f>
        <v/>
      </c>
    </row>
    <row r="147" customFormat="false" ht="15" hidden="false" customHeight="true" outlineLevel="0" collapsed="false">
      <c r="A147" s="21" t="str">
        <f aca="false">IF(C147="","",ROW()-1)</f>
        <v/>
      </c>
      <c r="B147" s="53"/>
      <c r="C147" s="22"/>
      <c r="D147" s="54" t="str">
        <f aca="false">IFERROR(VLOOKUP(C147,المخزن!$B$2:$H$201,2,FALSE()),"")</f>
        <v/>
      </c>
      <c r="E147" s="24"/>
      <c r="F147" s="26"/>
      <c r="G147" s="27" t="str">
        <f aca="false">IF(C147="","",E147*F147)</f>
        <v/>
      </c>
      <c r="H147" s="55" t="n">
        <f aca="false">IFERROR(VLOOKUP(C147,المخزن!$B$2:$H$201,7,FALSE()),0)</f>
        <v>0</v>
      </c>
      <c r="I147" s="27" t="str">
        <f aca="false">IF(C147="","",E147*H147)</f>
        <v/>
      </c>
    </row>
    <row r="148" customFormat="false" ht="15" hidden="false" customHeight="true" outlineLevel="0" collapsed="false">
      <c r="A148" s="21" t="str">
        <f aca="false">IF(C148="","",ROW()-1)</f>
        <v/>
      </c>
      <c r="B148" s="53"/>
      <c r="C148" s="22"/>
      <c r="D148" s="54" t="str">
        <f aca="false">IFERROR(VLOOKUP(C148,المخزن!$B$2:$H$201,2,FALSE()),"")</f>
        <v/>
      </c>
      <c r="E148" s="24"/>
      <c r="F148" s="26"/>
      <c r="G148" s="27" t="str">
        <f aca="false">IF(C148="","",E148*F148)</f>
        <v/>
      </c>
      <c r="H148" s="55" t="n">
        <f aca="false">IFERROR(VLOOKUP(C148,المخزن!$B$2:$H$201,7,FALSE()),0)</f>
        <v>0</v>
      </c>
      <c r="I148" s="27" t="str">
        <f aca="false">IF(C148="","",E148*H148)</f>
        <v/>
      </c>
    </row>
    <row r="149" customFormat="false" ht="15" hidden="false" customHeight="true" outlineLevel="0" collapsed="false">
      <c r="A149" s="21" t="str">
        <f aca="false">IF(C149="","",ROW()-1)</f>
        <v/>
      </c>
      <c r="B149" s="53"/>
      <c r="C149" s="22"/>
      <c r="D149" s="54" t="str">
        <f aca="false">IFERROR(VLOOKUP(C149,المخزن!$B$2:$H$201,2,FALSE()),"")</f>
        <v/>
      </c>
      <c r="E149" s="24"/>
      <c r="F149" s="26"/>
      <c r="G149" s="27" t="str">
        <f aca="false">IF(C149="","",E149*F149)</f>
        <v/>
      </c>
      <c r="H149" s="55" t="n">
        <f aca="false">IFERROR(VLOOKUP(C149,المخزن!$B$2:$H$201,7,FALSE()),0)</f>
        <v>0</v>
      </c>
      <c r="I149" s="27" t="str">
        <f aca="false">IF(C149="","",E149*H149)</f>
        <v/>
      </c>
    </row>
    <row r="150" customFormat="false" ht="15" hidden="false" customHeight="true" outlineLevel="0" collapsed="false">
      <c r="A150" s="21" t="str">
        <f aca="false">IF(C150="","",ROW()-1)</f>
        <v/>
      </c>
      <c r="B150" s="53"/>
      <c r="C150" s="22"/>
      <c r="D150" s="54" t="str">
        <f aca="false">IFERROR(VLOOKUP(C150,المخزن!$B$2:$H$201,2,FALSE()),"")</f>
        <v/>
      </c>
      <c r="E150" s="24"/>
      <c r="F150" s="26"/>
      <c r="G150" s="27" t="str">
        <f aca="false">IF(C150="","",E150*F150)</f>
        <v/>
      </c>
      <c r="H150" s="55" t="n">
        <f aca="false">IFERROR(VLOOKUP(C150,المخزن!$B$2:$H$201,7,FALSE()),0)</f>
        <v>0</v>
      </c>
      <c r="I150" s="27" t="str">
        <f aca="false">IF(C150="","",E150*H150)</f>
        <v/>
      </c>
    </row>
    <row r="151" customFormat="false" ht="15" hidden="false" customHeight="true" outlineLevel="0" collapsed="false">
      <c r="A151" s="21" t="str">
        <f aca="false">IF(C151="","",ROW()-1)</f>
        <v/>
      </c>
      <c r="B151" s="53"/>
      <c r="C151" s="22"/>
      <c r="D151" s="54" t="str">
        <f aca="false">IFERROR(VLOOKUP(C151,المخزن!$B$2:$H$201,2,FALSE()),"")</f>
        <v/>
      </c>
      <c r="E151" s="24"/>
      <c r="F151" s="26"/>
      <c r="G151" s="27" t="str">
        <f aca="false">IF(C151="","",E151*F151)</f>
        <v/>
      </c>
      <c r="H151" s="55" t="n">
        <f aca="false">IFERROR(VLOOKUP(C151,المخزن!$B$2:$H$201,7,FALSE()),0)</f>
        <v>0</v>
      </c>
      <c r="I151" s="27" t="str">
        <f aca="false">IF(C151="","",E151*H151)</f>
        <v/>
      </c>
    </row>
    <row r="152" customFormat="false" ht="15" hidden="false" customHeight="true" outlineLevel="0" collapsed="false">
      <c r="A152" s="21" t="str">
        <f aca="false">IF(C152="","",ROW()-1)</f>
        <v/>
      </c>
      <c r="B152" s="53"/>
      <c r="C152" s="22"/>
      <c r="D152" s="54" t="str">
        <f aca="false">IFERROR(VLOOKUP(C152,المخزن!$B$2:$H$201,2,FALSE()),"")</f>
        <v/>
      </c>
      <c r="E152" s="24"/>
      <c r="F152" s="26"/>
      <c r="G152" s="27" t="str">
        <f aca="false">IF(C152="","",E152*F152)</f>
        <v/>
      </c>
      <c r="H152" s="55" t="n">
        <f aca="false">IFERROR(VLOOKUP(C152,المخزن!$B$2:$H$201,7,FALSE()),0)</f>
        <v>0</v>
      </c>
      <c r="I152" s="27" t="str">
        <f aca="false">IF(C152="","",E152*H152)</f>
        <v/>
      </c>
    </row>
    <row r="153" customFormat="false" ht="15" hidden="false" customHeight="true" outlineLevel="0" collapsed="false">
      <c r="A153" s="21" t="str">
        <f aca="false">IF(C153="","",ROW()-1)</f>
        <v/>
      </c>
      <c r="B153" s="53"/>
      <c r="C153" s="22"/>
      <c r="D153" s="54" t="str">
        <f aca="false">IFERROR(VLOOKUP(C153,المخزن!$B$2:$H$201,2,FALSE()),"")</f>
        <v/>
      </c>
      <c r="E153" s="24"/>
      <c r="F153" s="26"/>
      <c r="G153" s="27" t="str">
        <f aca="false">IF(C153="","",E153*F153)</f>
        <v/>
      </c>
      <c r="H153" s="55" t="n">
        <f aca="false">IFERROR(VLOOKUP(C153,المخزن!$B$2:$H$201,7,FALSE()),0)</f>
        <v>0</v>
      </c>
      <c r="I153" s="27" t="str">
        <f aca="false">IF(C153="","",E153*H153)</f>
        <v/>
      </c>
    </row>
    <row r="154" customFormat="false" ht="15" hidden="false" customHeight="true" outlineLevel="0" collapsed="false">
      <c r="A154" s="21" t="str">
        <f aca="false">IF(C154="","",ROW()-1)</f>
        <v/>
      </c>
      <c r="B154" s="53"/>
      <c r="C154" s="22"/>
      <c r="D154" s="54" t="str">
        <f aca="false">IFERROR(VLOOKUP(C154,المخزن!$B$2:$H$201,2,FALSE()),"")</f>
        <v/>
      </c>
      <c r="E154" s="24"/>
      <c r="F154" s="26"/>
      <c r="G154" s="27" t="str">
        <f aca="false">IF(C154="","",E154*F154)</f>
        <v/>
      </c>
      <c r="H154" s="55" t="n">
        <f aca="false">IFERROR(VLOOKUP(C154,المخزن!$B$2:$H$201,7,FALSE()),0)</f>
        <v>0</v>
      </c>
      <c r="I154" s="27" t="str">
        <f aca="false">IF(C154="","",E154*H154)</f>
        <v/>
      </c>
    </row>
    <row r="155" customFormat="false" ht="15" hidden="false" customHeight="true" outlineLevel="0" collapsed="false">
      <c r="A155" s="21" t="str">
        <f aca="false">IF(C155="","",ROW()-1)</f>
        <v/>
      </c>
      <c r="B155" s="53"/>
      <c r="C155" s="22"/>
      <c r="D155" s="54" t="str">
        <f aca="false">IFERROR(VLOOKUP(C155,المخزن!$B$2:$H$201,2,FALSE()),"")</f>
        <v/>
      </c>
      <c r="E155" s="24"/>
      <c r="F155" s="26"/>
      <c r="G155" s="27" t="str">
        <f aca="false">IF(C155="","",E155*F155)</f>
        <v/>
      </c>
      <c r="H155" s="55" t="n">
        <f aca="false">IFERROR(VLOOKUP(C155,المخزن!$B$2:$H$201,7,FALSE()),0)</f>
        <v>0</v>
      </c>
      <c r="I155" s="27" t="str">
        <f aca="false">IF(C155="","",E155*H155)</f>
        <v/>
      </c>
    </row>
    <row r="156" customFormat="false" ht="15" hidden="false" customHeight="true" outlineLevel="0" collapsed="false">
      <c r="A156" s="21" t="str">
        <f aca="false">IF(C156="","",ROW()-1)</f>
        <v/>
      </c>
      <c r="B156" s="53"/>
      <c r="C156" s="22"/>
      <c r="D156" s="54" t="str">
        <f aca="false">IFERROR(VLOOKUP(C156,المخزن!$B$2:$H$201,2,FALSE()),"")</f>
        <v/>
      </c>
      <c r="E156" s="24"/>
      <c r="F156" s="26"/>
      <c r="G156" s="27" t="str">
        <f aca="false">IF(C156="","",E156*F156)</f>
        <v/>
      </c>
      <c r="H156" s="55" t="n">
        <f aca="false">IFERROR(VLOOKUP(C156,المخزن!$B$2:$H$201,7,FALSE()),0)</f>
        <v>0</v>
      </c>
      <c r="I156" s="27" t="str">
        <f aca="false">IF(C156="","",E156*H156)</f>
        <v/>
      </c>
    </row>
    <row r="157" customFormat="false" ht="15" hidden="false" customHeight="true" outlineLevel="0" collapsed="false">
      <c r="A157" s="21" t="str">
        <f aca="false">IF(C157="","",ROW()-1)</f>
        <v/>
      </c>
      <c r="B157" s="53"/>
      <c r="C157" s="22"/>
      <c r="D157" s="54" t="str">
        <f aca="false">IFERROR(VLOOKUP(C157,المخزن!$B$2:$H$201,2,FALSE()),"")</f>
        <v/>
      </c>
      <c r="E157" s="24"/>
      <c r="F157" s="26"/>
      <c r="G157" s="27" t="str">
        <f aca="false">IF(C157="","",E157*F157)</f>
        <v/>
      </c>
      <c r="H157" s="55" t="n">
        <f aca="false">IFERROR(VLOOKUP(C157,المخزن!$B$2:$H$201,7,FALSE()),0)</f>
        <v>0</v>
      </c>
      <c r="I157" s="27" t="str">
        <f aca="false">IF(C157="","",E157*H157)</f>
        <v/>
      </c>
    </row>
    <row r="158" customFormat="false" ht="15" hidden="false" customHeight="true" outlineLevel="0" collapsed="false">
      <c r="A158" s="21" t="str">
        <f aca="false">IF(C158="","",ROW()-1)</f>
        <v/>
      </c>
      <c r="B158" s="53"/>
      <c r="C158" s="22"/>
      <c r="D158" s="54" t="str">
        <f aca="false">IFERROR(VLOOKUP(C158,المخزن!$B$2:$H$201,2,FALSE()),"")</f>
        <v/>
      </c>
      <c r="E158" s="24"/>
      <c r="F158" s="26"/>
      <c r="G158" s="27" t="str">
        <f aca="false">IF(C158="","",E158*F158)</f>
        <v/>
      </c>
      <c r="H158" s="55" t="n">
        <f aca="false">IFERROR(VLOOKUP(C158,المخزن!$B$2:$H$201,7,FALSE()),0)</f>
        <v>0</v>
      </c>
      <c r="I158" s="27" t="str">
        <f aca="false">IF(C158="","",E158*H158)</f>
        <v/>
      </c>
    </row>
    <row r="159" customFormat="false" ht="15" hidden="false" customHeight="true" outlineLevel="0" collapsed="false">
      <c r="A159" s="21" t="str">
        <f aca="false">IF(C159="","",ROW()-1)</f>
        <v/>
      </c>
      <c r="B159" s="53"/>
      <c r="C159" s="22"/>
      <c r="D159" s="54" t="str">
        <f aca="false">IFERROR(VLOOKUP(C159,المخزن!$B$2:$H$201,2,FALSE()),"")</f>
        <v/>
      </c>
      <c r="E159" s="24"/>
      <c r="F159" s="26"/>
      <c r="G159" s="27" t="str">
        <f aca="false">IF(C159="","",E159*F159)</f>
        <v/>
      </c>
      <c r="H159" s="55" t="n">
        <f aca="false">IFERROR(VLOOKUP(C159,المخزن!$B$2:$H$201,7,FALSE()),0)</f>
        <v>0</v>
      </c>
      <c r="I159" s="27" t="str">
        <f aca="false">IF(C159="","",E159*H159)</f>
        <v/>
      </c>
    </row>
    <row r="160" customFormat="false" ht="15" hidden="false" customHeight="true" outlineLevel="0" collapsed="false">
      <c r="A160" s="21" t="str">
        <f aca="false">IF(C160="","",ROW()-1)</f>
        <v/>
      </c>
      <c r="B160" s="53"/>
      <c r="C160" s="22"/>
      <c r="D160" s="54" t="str">
        <f aca="false">IFERROR(VLOOKUP(C160,المخزن!$B$2:$H$201,2,FALSE()),"")</f>
        <v/>
      </c>
      <c r="E160" s="24"/>
      <c r="F160" s="26"/>
      <c r="G160" s="27" t="str">
        <f aca="false">IF(C160="","",E160*F160)</f>
        <v/>
      </c>
      <c r="H160" s="55" t="n">
        <f aca="false">IFERROR(VLOOKUP(C160,المخزن!$B$2:$H$201,7,FALSE()),0)</f>
        <v>0</v>
      </c>
      <c r="I160" s="27" t="str">
        <f aca="false">IF(C160="","",E160*H160)</f>
        <v/>
      </c>
    </row>
    <row r="161" customFormat="false" ht="15" hidden="false" customHeight="true" outlineLevel="0" collapsed="false">
      <c r="A161" s="21" t="str">
        <f aca="false">IF(C161="","",ROW()-1)</f>
        <v/>
      </c>
      <c r="B161" s="53"/>
      <c r="C161" s="22"/>
      <c r="D161" s="54" t="str">
        <f aca="false">IFERROR(VLOOKUP(C161,المخزن!$B$2:$H$201,2,FALSE()),"")</f>
        <v/>
      </c>
      <c r="E161" s="24"/>
      <c r="F161" s="26"/>
      <c r="G161" s="27" t="str">
        <f aca="false">IF(C161="","",E161*F161)</f>
        <v/>
      </c>
      <c r="H161" s="55" t="n">
        <f aca="false">IFERROR(VLOOKUP(C161,المخزن!$B$2:$H$201,7,FALSE()),0)</f>
        <v>0</v>
      </c>
      <c r="I161" s="27" t="str">
        <f aca="false">IF(C161="","",E161*H161)</f>
        <v/>
      </c>
    </row>
    <row r="162" customFormat="false" ht="15" hidden="false" customHeight="true" outlineLevel="0" collapsed="false">
      <c r="A162" s="21" t="str">
        <f aca="false">IF(C162="","",ROW()-1)</f>
        <v/>
      </c>
      <c r="B162" s="53"/>
      <c r="C162" s="22"/>
      <c r="D162" s="54" t="str">
        <f aca="false">IFERROR(VLOOKUP(C162,المخزن!$B$2:$H$201,2,FALSE()),"")</f>
        <v/>
      </c>
      <c r="E162" s="24"/>
      <c r="F162" s="26"/>
      <c r="G162" s="27" t="str">
        <f aca="false">IF(C162="","",E162*F162)</f>
        <v/>
      </c>
      <c r="H162" s="55" t="n">
        <f aca="false">IFERROR(VLOOKUP(C162,المخزن!$B$2:$H$201,7,FALSE()),0)</f>
        <v>0</v>
      </c>
      <c r="I162" s="27" t="str">
        <f aca="false">IF(C162="","",E162*H162)</f>
        <v/>
      </c>
    </row>
    <row r="163" customFormat="false" ht="15" hidden="false" customHeight="true" outlineLevel="0" collapsed="false">
      <c r="A163" s="21" t="str">
        <f aca="false">IF(C163="","",ROW()-1)</f>
        <v/>
      </c>
      <c r="B163" s="53"/>
      <c r="C163" s="22"/>
      <c r="D163" s="54" t="str">
        <f aca="false">IFERROR(VLOOKUP(C163,المخزن!$B$2:$H$201,2,FALSE()),"")</f>
        <v/>
      </c>
      <c r="E163" s="24"/>
      <c r="F163" s="26"/>
      <c r="G163" s="27" t="str">
        <f aca="false">IF(C163="","",E163*F163)</f>
        <v/>
      </c>
      <c r="H163" s="55" t="n">
        <f aca="false">IFERROR(VLOOKUP(C163,المخزن!$B$2:$H$201,7,FALSE()),0)</f>
        <v>0</v>
      </c>
      <c r="I163" s="27" t="str">
        <f aca="false">IF(C163="","",E163*H163)</f>
        <v/>
      </c>
    </row>
    <row r="164" customFormat="false" ht="15" hidden="false" customHeight="true" outlineLevel="0" collapsed="false">
      <c r="A164" s="21" t="str">
        <f aca="false">IF(C164="","",ROW()-1)</f>
        <v/>
      </c>
      <c r="B164" s="53"/>
      <c r="C164" s="22"/>
      <c r="D164" s="54" t="str">
        <f aca="false">IFERROR(VLOOKUP(C164,المخزن!$B$2:$H$201,2,FALSE()),"")</f>
        <v/>
      </c>
      <c r="E164" s="24"/>
      <c r="F164" s="26"/>
      <c r="G164" s="27" t="str">
        <f aca="false">IF(C164="","",E164*F164)</f>
        <v/>
      </c>
      <c r="H164" s="55" t="n">
        <f aca="false">IFERROR(VLOOKUP(C164,المخزن!$B$2:$H$201,7,FALSE()),0)</f>
        <v>0</v>
      </c>
      <c r="I164" s="27" t="str">
        <f aca="false">IF(C164="","",E164*H164)</f>
        <v/>
      </c>
    </row>
    <row r="165" customFormat="false" ht="15" hidden="false" customHeight="true" outlineLevel="0" collapsed="false">
      <c r="A165" s="21" t="str">
        <f aca="false">IF(C165="","",ROW()-1)</f>
        <v/>
      </c>
      <c r="B165" s="53"/>
      <c r="C165" s="22"/>
      <c r="D165" s="54" t="str">
        <f aca="false">IFERROR(VLOOKUP(C165,المخزن!$B$2:$H$201,2,FALSE()),"")</f>
        <v/>
      </c>
      <c r="E165" s="24"/>
      <c r="F165" s="26"/>
      <c r="G165" s="27" t="str">
        <f aca="false">IF(C165="","",E165*F165)</f>
        <v/>
      </c>
      <c r="H165" s="55" t="n">
        <f aca="false">IFERROR(VLOOKUP(C165,المخزن!$B$2:$H$201,7,FALSE()),0)</f>
        <v>0</v>
      </c>
      <c r="I165" s="27" t="str">
        <f aca="false">IF(C165="","",E165*H165)</f>
        <v/>
      </c>
    </row>
    <row r="166" customFormat="false" ht="15" hidden="false" customHeight="true" outlineLevel="0" collapsed="false">
      <c r="A166" s="21" t="str">
        <f aca="false">IF(C166="","",ROW()-1)</f>
        <v/>
      </c>
      <c r="B166" s="53"/>
      <c r="C166" s="22"/>
      <c r="D166" s="54" t="str">
        <f aca="false">IFERROR(VLOOKUP(C166,المخزن!$B$2:$H$201,2,FALSE()),"")</f>
        <v/>
      </c>
      <c r="E166" s="24"/>
      <c r="F166" s="26"/>
      <c r="G166" s="27" t="str">
        <f aca="false">IF(C166="","",E166*F166)</f>
        <v/>
      </c>
      <c r="H166" s="55" t="n">
        <f aca="false">IFERROR(VLOOKUP(C166,المخزن!$B$2:$H$201,7,FALSE()),0)</f>
        <v>0</v>
      </c>
      <c r="I166" s="27" t="str">
        <f aca="false">IF(C166="","",E166*H166)</f>
        <v/>
      </c>
    </row>
    <row r="167" customFormat="false" ht="15" hidden="false" customHeight="true" outlineLevel="0" collapsed="false">
      <c r="A167" s="21" t="str">
        <f aca="false">IF(C167="","",ROW()-1)</f>
        <v/>
      </c>
      <c r="B167" s="53"/>
      <c r="C167" s="22"/>
      <c r="D167" s="54" t="str">
        <f aca="false">IFERROR(VLOOKUP(C167,المخزن!$B$2:$H$201,2,FALSE()),"")</f>
        <v/>
      </c>
      <c r="E167" s="24"/>
      <c r="F167" s="26"/>
      <c r="G167" s="27" t="str">
        <f aca="false">IF(C167="","",E167*F167)</f>
        <v/>
      </c>
      <c r="H167" s="55" t="n">
        <f aca="false">IFERROR(VLOOKUP(C167,المخزن!$B$2:$H$201,7,FALSE()),0)</f>
        <v>0</v>
      </c>
      <c r="I167" s="27" t="str">
        <f aca="false">IF(C167="","",E167*H167)</f>
        <v/>
      </c>
    </row>
    <row r="168" customFormat="false" ht="15" hidden="false" customHeight="true" outlineLevel="0" collapsed="false">
      <c r="A168" s="21" t="str">
        <f aca="false">IF(C168="","",ROW()-1)</f>
        <v/>
      </c>
      <c r="B168" s="53"/>
      <c r="C168" s="22"/>
      <c r="D168" s="54" t="str">
        <f aca="false">IFERROR(VLOOKUP(C168,المخزن!$B$2:$H$201,2,FALSE()),"")</f>
        <v/>
      </c>
      <c r="E168" s="24"/>
      <c r="F168" s="26"/>
      <c r="G168" s="27" t="str">
        <f aca="false">IF(C168="","",E168*F168)</f>
        <v/>
      </c>
      <c r="H168" s="55" t="n">
        <f aca="false">IFERROR(VLOOKUP(C168,المخزن!$B$2:$H$201,7,FALSE()),0)</f>
        <v>0</v>
      </c>
      <c r="I168" s="27" t="str">
        <f aca="false">IF(C168="","",E168*H168)</f>
        <v/>
      </c>
    </row>
    <row r="169" customFormat="false" ht="15" hidden="false" customHeight="true" outlineLevel="0" collapsed="false">
      <c r="A169" s="21" t="str">
        <f aca="false">IF(C169="","",ROW()-1)</f>
        <v/>
      </c>
      <c r="B169" s="53"/>
      <c r="C169" s="22"/>
      <c r="D169" s="54" t="str">
        <f aca="false">IFERROR(VLOOKUP(C169,المخزن!$B$2:$H$201,2,FALSE()),"")</f>
        <v/>
      </c>
      <c r="E169" s="24"/>
      <c r="F169" s="26"/>
      <c r="G169" s="27" t="str">
        <f aca="false">IF(C169="","",E169*F169)</f>
        <v/>
      </c>
      <c r="H169" s="55" t="n">
        <f aca="false">IFERROR(VLOOKUP(C169,المخزن!$B$2:$H$201,7,FALSE()),0)</f>
        <v>0</v>
      </c>
      <c r="I169" s="27" t="str">
        <f aca="false">IF(C169="","",E169*H169)</f>
        <v/>
      </c>
    </row>
    <row r="170" customFormat="false" ht="15" hidden="false" customHeight="true" outlineLevel="0" collapsed="false">
      <c r="A170" s="21" t="str">
        <f aca="false">IF(C170="","",ROW()-1)</f>
        <v/>
      </c>
      <c r="B170" s="53"/>
      <c r="C170" s="22"/>
      <c r="D170" s="54" t="str">
        <f aca="false">IFERROR(VLOOKUP(C170,المخزن!$B$2:$H$201,2,FALSE()),"")</f>
        <v/>
      </c>
      <c r="E170" s="24"/>
      <c r="F170" s="26"/>
      <c r="G170" s="27" t="str">
        <f aca="false">IF(C170="","",E170*F170)</f>
        <v/>
      </c>
      <c r="H170" s="55" t="n">
        <f aca="false">IFERROR(VLOOKUP(C170,المخزن!$B$2:$H$201,7,FALSE()),0)</f>
        <v>0</v>
      </c>
      <c r="I170" s="27" t="str">
        <f aca="false">IF(C170="","",E170*H170)</f>
        <v/>
      </c>
    </row>
    <row r="171" customFormat="false" ht="15" hidden="false" customHeight="true" outlineLevel="0" collapsed="false">
      <c r="A171" s="21" t="str">
        <f aca="false">IF(C171="","",ROW()-1)</f>
        <v/>
      </c>
      <c r="B171" s="53"/>
      <c r="C171" s="22"/>
      <c r="D171" s="54" t="str">
        <f aca="false">IFERROR(VLOOKUP(C171,المخزن!$B$2:$H$201,2,FALSE()),"")</f>
        <v/>
      </c>
      <c r="E171" s="24"/>
      <c r="F171" s="26"/>
      <c r="G171" s="27" t="str">
        <f aca="false">IF(C171="","",E171*F171)</f>
        <v/>
      </c>
      <c r="H171" s="55" t="n">
        <f aca="false">IFERROR(VLOOKUP(C171,المخزن!$B$2:$H$201,7,FALSE()),0)</f>
        <v>0</v>
      </c>
      <c r="I171" s="27" t="str">
        <f aca="false">IF(C171="","",E171*H171)</f>
        <v/>
      </c>
    </row>
    <row r="172" customFormat="false" ht="15" hidden="false" customHeight="true" outlineLevel="0" collapsed="false">
      <c r="A172" s="21" t="str">
        <f aca="false">IF(C172="","",ROW()-1)</f>
        <v/>
      </c>
      <c r="B172" s="53"/>
      <c r="C172" s="22"/>
      <c r="D172" s="54" t="str">
        <f aca="false">IFERROR(VLOOKUP(C172,المخزن!$B$2:$H$201,2,FALSE()),"")</f>
        <v/>
      </c>
      <c r="E172" s="24"/>
      <c r="F172" s="26"/>
      <c r="G172" s="27" t="str">
        <f aca="false">IF(C172="","",E172*F172)</f>
        <v/>
      </c>
      <c r="H172" s="55" t="n">
        <f aca="false">IFERROR(VLOOKUP(C172,المخزن!$B$2:$H$201,7,FALSE()),0)</f>
        <v>0</v>
      </c>
      <c r="I172" s="27" t="str">
        <f aca="false">IF(C172="","",E172*H172)</f>
        <v/>
      </c>
    </row>
    <row r="173" customFormat="false" ht="15" hidden="false" customHeight="true" outlineLevel="0" collapsed="false">
      <c r="A173" s="21" t="str">
        <f aca="false">IF(C173="","",ROW()-1)</f>
        <v/>
      </c>
      <c r="B173" s="53"/>
      <c r="C173" s="22"/>
      <c r="D173" s="54" t="str">
        <f aca="false">IFERROR(VLOOKUP(C173,المخزن!$B$2:$H$201,2,FALSE()),"")</f>
        <v/>
      </c>
      <c r="E173" s="24"/>
      <c r="F173" s="26"/>
      <c r="G173" s="27" t="str">
        <f aca="false">IF(C173="","",E173*F173)</f>
        <v/>
      </c>
      <c r="H173" s="55" t="n">
        <f aca="false">IFERROR(VLOOKUP(C173,المخزن!$B$2:$H$201,7,FALSE()),0)</f>
        <v>0</v>
      </c>
      <c r="I173" s="27" t="str">
        <f aca="false">IF(C173="","",E173*H173)</f>
        <v/>
      </c>
    </row>
    <row r="174" customFormat="false" ht="15" hidden="false" customHeight="true" outlineLevel="0" collapsed="false">
      <c r="A174" s="21" t="str">
        <f aca="false">IF(C174="","",ROW()-1)</f>
        <v/>
      </c>
      <c r="B174" s="53"/>
      <c r="C174" s="22"/>
      <c r="D174" s="54" t="str">
        <f aca="false">IFERROR(VLOOKUP(C174,المخزن!$B$2:$H$201,2,FALSE()),"")</f>
        <v/>
      </c>
      <c r="E174" s="24"/>
      <c r="F174" s="26"/>
      <c r="G174" s="27" t="str">
        <f aca="false">IF(C174="","",E174*F174)</f>
        <v/>
      </c>
      <c r="H174" s="55" t="n">
        <f aca="false">IFERROR(VLOOKUP(C174,المخزن!$B$2:$H$201,7,FALSE()),0)</f>
        <v>0</v>
      </c>
      <c r="I174" s="27" t="str">
        <f aca="false">IF(C174="","",E174*H174)</f>
        <v/>
      </c>
    </row>
    <row r="175" customFormat="false" ht="15" hidden="false" customHeight="true" outlineLevel="0" collapsed="false">
      <c r="A175" s="21" t="str">
        <f aca="false">IF(C175="","",ROW()-1)</f>
        <v/>
      </c>
      <c r="B175" s="53"/>
      <c r="C175" s="22"/>
      <c r="D175" s="54" t="str">
        <f aca="false">IFERROR(VLOOKUP(C175,المخزن!$B$2:$H$201,2,FALSE()),"")</f>
        <v/>
      </c>
      <c r="E175" s="24"/>
      <c r="F175" s="26"/>
      <c r="G175" s="27" t="str">
        <f aca="false">IF(C175="","",E175*F175)</f>
        <v/>
      </c>
      <c r="H175" s="55" t="n">
        <f aca="false">IFERROR(VLOOKUP(C175,المخزن!$B$2:$H$201,7,FALSE()),0)</f>
        <v>0</v>
      </c>
      <c r="I175" s="27" t="str">
        <f aca="false">IF(C175="","",E175*H175)</f>
        <v/>
      </c>
    </row>
    <row r="176" customFormat="false" ht="15" hidden="false" customHeight="true" outlineLevel="0" collapsed="false">
      <c r="A176" s="21" t="str">
        <f aca="false">IF(C176="","",ROW()-1)</f>
        <v/>
      </c>
      <c r="B176" s="53"/>
      <c r="C176" s="22"/>
      <c r="D176" s="54" t="str">
        <f aca="false">IFERROR(VLOOKUP(C176,المخزن!$B$2:$H$201,2,FALSE()),"")</f>
        <v/>
      </c>
      <c r="E176" s="24"/>
      <c r="F176" s="26"/>
      <c r="G176" s="27" t="str">
        <f aca="false">IF(C176="","",E176*F176)</f>
        <v/>
      </c>
      <c r="H176" s="55" t="n">
        <f aca="false">IFERROR(VLOOKUP(C176,المخزن!$B$2:$H$201,7,FALSE()),0)</f>
        <v>0</v>
      </c>
      <c r="I176" s="27" t="str">
        <f aca="false">IF(C176="","",E176*H176)</f>
        <v/>
      </c>
    </row>
    <row r="177" customFormat="false" ht="15" hidden="false" customHeight="true" outlineLevel="0" collapsed="false">
      <c r="A177" s="21" t="str">
        <f aca="false">IF(C177="","",ROW()-1)</f>
        <v/>
      </c>
      <c r="B177" s="53"/>
      <c r="C177" s="22"/>
      <c r="D177" s="54" t="str">
        <f aca="false">IFERROR(VLOOKUP(C177,المخزن!$B$2:$H$201,2,FALSE()),"")</f>
        <v/>
      </c>
      <c r="E177" s="24"/>
      <c r="F177" s="26"/>
      <c r="G177" s="27" t="str">
        <f aca="false">IF(C177="","",E177*F177)</f>
        <v/>
      </c>
      <c r="H177" s="55" t="n">
        <f aca="false">IFERROR(VLOOKUP(C177,المخزن!$B$2:$H$201,7,FALSE()),0)</f>
        <v>0</v>
      </c>
      <c r="I177" s="27" t="str">
        <f aca="false">IF(C177="","",E177*H177)</f>
        <v/>
      </c>
    </row>
    <row r="178" customFormat="false" ht="15" hidden="false" customHeight="true" outlineLevel="0" collapsed="false">
      <c r="A178" s="21" t="str">
        <f aca="false">IF(C178="","",ROW()-1)</f>
        <v/>
      </c>
      <c r="B178" s="53"/>
      <c r="C178" s="22"/>
      <c r="D178" s="54" t="str">
        <f aca="false">IFERROR(VLOOKUP(C178,المخزن!$B$2:$H$201,2,FALSE()),"")</f>
        <v/>
      </c>
      <c r="E178" s="24"/>
      <c r="F178" s="26"/>
      <c r="G178" s="27" t="str">
        <f aca="false">IF(C178="","",E178*F178)</f>
        <v/>
      </c>
      <c r="H178" s="55" t="n">
        <f aca="false">IFERROR(VLOOKUP(C178,المخزن!$B$2:$H$201,7,FALSE()),0)</f>
        <v>0</v>
      </c>
      <c r="I178" s="27" t="str">
        <f aca="false">IF(C178="","",E178*H178)</f>
        <v/>
      </c>
    </row>
    <row r="179" customFormat="false" ht="15" hidden="false" customHeight="true" outlineLevel="0" collapsed="false">
      <c r="A179" s="21" t="str">
        <f aca="false">IF(C179="","",ROW()-1)</f>
        <v/>
      </c>
      <c r="B179" s="53"/>
      <c r="C179" s="22"/>
      <c r="D179" s="54" t="str">
        <f aca="false">IFERROR(VLOOKUP(C179,المخزن!$B$2:$H$201,2,FALSE()),"")</f>
        <v/>
      </c>
      <c r="E179" s="24"/>
      <c r="F179" s="26"/>
      <c r="G179" s="27" t="str">
        <f aca="false">IF(C179="","",E179*F179)</f>
        <v/>
      </c>
      <c r="H179" s="55" t="n">
        <f aca="false">IFERROR(VLOOKUP(C179,المخزن!$B$2:$H$201,7,FALSE()),0)</f>
        <v>0</v>
      </c>
      <c r="I179" s="27" t="str">
        <f aca="false">IF(C179="","",E179*H179)</f>
        <v/>
      </c>
    </row>
    <row r="180" customFormat="false" ht="15" hidden="false" customHeight="true" outlineLevel="0" collapsed="false">
      <c r="A180" s="21" t="str">
        <f aca="false">IF(C180="","",ROW()-1)</f>
        <v/>
      </c>
      <c r="B180" s="53"/>
      <c r="C180" s="22"/>
      <c r="D180" s="54" t="str">
        <f aca="false">IFERROR(VLOOKUP(C180,المخزن!$B$2:$H$201,2,FALSE()),"")</f>
        <v/>
      </c>
      <c r="E180" s="24"/>
      <c r="F180" s="26"/>
      <c r="G180" s="27" t="str">
        <f aca="false">IF(C180="","",E180*F180)</f>
        <v/>
      </c>
      <c r="H180" s="55" t="n">
        <f aca="false">IFERROR(VLOOKUP(C180,المخزن!$B$2:$H$201,7,FALSE()),0)</f>
        <v>0</v>
      </c>
      <c r="I180" s="27" t="str">
        <f aca="false">IF(C180="","",E180*H180)</f>
        <v/>
      </c>
    </row>
    <row r="181" customFormat="false" ht="15" hidden="false" customHeight="true" outlineLevel="0" collapsed="false">
      <c r="A181" s="21" t="str">
        <f aca="false">IF(C181="","",ROW()-1)</f>
        <v/>
      </c>
      <c r="B181" s="53"/>
      <c r="C181" s="22"/>
      <c r="D181" s="54" t="str">
        <f aca="false">IFERROR(VLOOKUP(C181,المخزن!$B$2:$H$201,2,FALSE()),"")</f>
        <v/>
      </c>
      <c r="E181" s="24"/>
      <c r="F181" s="26"/>
      <c r="G181" s="27" t="str">
        <f aca="false">IF(C181="","",E181*F181)</f>
        <v/>
      </c>
      <c r="H181" s="55" t="n">
        <f aca="false">IFERROR(VLOOKUP(C181,المخزن!$B$2:$H$201,7,FALSE()),0)</f>
        <v>0</v>
      </c>
      <c r="I181" s="27" t="str">
        <f aca="false">IF(C181="","",E181*H181)</f>
        <v/>
      </c>
    </row>
    <row r="182" customFormat="false" ht="15" hidden="false" customHeight="true" outlineLevel="0" collapsed="false">
      <c r="A182" s="21" t="str">
        <f aca="false">IF(C182="","",ROW()-1)</f>
        <v/>
      </c>
      <c r="B182" s="53"/>
      <c r="C182" s="22"/>
      <c r="D182" s="54" t="str">
        <f aca="false">IFERROR(VLOOKUP(C182,المخزن!$B$2:$H$201,2,FALSE()),"")</f>
        <v/>
      </c>
      <c r="E182" s="24"/>
      <c r="F182" s="26"/>
      <c r="G182" s="27" t="str">
        <f aca="false">IF(C182="","",E182*F182)</f>
        <v/>
      </c>
      <c r="H182" s="55" t="n">
        <f aca="false">IFERROR(VLOOKUP(C182,المخزن!$B$2:$H$201,7,FALSE()),0)</f>
        <v>0</v>
      </c>
      <c r="I182" s="27" t="str">
        <f aca="false">IF(C182="","",E182*H182)</f>
        <v/>
      </c>
    </row>
    <row r="183" customFormat="false" ht="15" hidden="false" customHeight="true" outlineLevel="0" collapsed="false">
      <c r="A183" s="21" t="str">
        <f aca="false">IF(C183="","",ROW()-1)</f>
        <v/>
      </c>
      <c r="B183" s="53"/>
      <c r="C183" s="22"/>
      <c r="D183" s="54" t="str">
        <f aca="false">IFERROR(VLOOKUP(C183,المخزن!$B$2:$H$201,2,FALSE()),"")</f>
        <v/>
      </c>
      <c r="E183" s="24"/>
      <c r="F183" s="26"/>
      <c r="G183" s="27" t="str">
        <f aca="false">IF(C183="","",E183*F183)</f>
        <v/>
      </c>
      <c r="H183" s="55" t="n">
        <f aca="false">IFERROR(VLOOKUP(C183,المخزن!$B$2:$H$201,7,FALSE()),0)</f>
        <v>0</v>
      </c>
      <c r="I183" s="27" t="str">
        <f aca="false">IF(C183="","",E183*H183)</f>
        <v/>
      </c>
    </row>
    <row r="184" customFormat="false" ht="15" hidden="false" customHeight="true" outlineLevel="0" collapsed="false">
      <c r="A184" s="21" t="str">
        <f aca="false">IF(C184="","",ROW()-1)</f>
        <v/>
      </c>
      <c r="B184" s="53"/>
      <c r="C184" s="22"/>
      <c r="D184" s="54" t="str">
        <f aca="false">IFERROR(VLOOKUP(C184,المخزن!$B$2:$H$201,2,FALSE()),"")</f>
        <v/>
      </c>
      <c r="E184" s="24"/>
      <c r="F184" s="26"/>
      <c r="G184" s="27" t="str">
        <f aca="false">IF(C184="","",E184*F184)</f>
        <v/>
      </c>
      <c r="H184" s="55" t="n">
        <f aca="false">IFERROR(VLOOKUP(C184,المخزن!$B$2:$H$201,7,FALSE()),0)</f>
        <v>0</v>
      </c>
      <c r="I184" s="27" t="str">
        <f aca="false">IF(C184="","",E184*H184)</f>
        <v/>
      </c>
    </row>
    <row r="185" customFormat="false" ht="15" hidden="false" customHeight="true" outlineLevel="0" collapsed="false">
      <c r="A185" s="21" t="str">
        <f aca="false">IF(C185="","",ROW()-1)</f>
        <v/>
      </c>
      <c r="B185" s="53"/>
      <c r="C185" s="22"/>
      <c r="D185" s="54" t="str">
        <f aca="false">IFERROR(VLOOKUP(C185,المخزن!$B$2:$H$201,2,FALSE()),"")</f>
        <v/>
      </c>
      <c r="E185" s="24"/>
      <c r="F185" s="26"/>
      <c r="G185" s="27" t="str">
        <f aca="false">IF(C185="","",E185*F185)</f>
        <v/>
      </c>
      <c r="H185" s="55" t="n">
        <f aca="false">IFERROR(VLOOKUP(C185,المخزن!$B$2:$H$201,7,FALSE()),0)</f>
        <v>0</v>
      </c>
      <c r="I185" s="27" t="str">
        <f aca="false">IF(C185="","",E185*H185)</f>
        <v/>
      </c>
    </row>
    <row r="186" customFormat="false" ht="15" hidden="false" customHeight="true" outlineLevel="0" collapsed="false">
      <c r="A186" s="21" t="str">
        <f aca="false">IF(C186="","",ROW()-1)</f>
        <v/>
      </c>
      <c r="B186" s="53"/>
      <c r="C186" s="22"/>
      <c r="D186" s="54" t="str">
        <f aca="false">IFERROR(VLOOKUP(C186,المخزن!$B$2:$H$201,2,FALSE()),"")</f>
        <v/>
      </c>
      <c r="E186" s="24"/>
      <c r="F186" s="26"/>
      <c r="G186" s="27" t="str">
        <f aca="false">IF(C186="","",E186*F186)</f>
        <v/>
      </c>
      <c r="H186" s="55" t="n">
        <f aca="false">IFERROR(VLOOKUP(C186,المخزن!$B$2:$H$201,7,FALSE()),0)</f>
        <v>0</v>
      </c>
      <c r="I186" s="27" t="str">
        <f aca="false">IF(C186="","",E186*H186)</f>
        <v/>
      </c>
    </row>
    <row r="187" customFormat="false" ht="15" hidden="false" customHeight="true" outlineLevel="0" collapsed="false">
      <c r="A187" s="21" t="str">
        <f aca="false">IF(C187="","",ROW()-1)</f>
        <v/>
      </c>
      <c r="B187" s="53"/>
      <c r="C187" s="22"/>
      <c r="D187" s="54" t="str">
        <f aca="false">IFERROR(VLOOKUP(C187,المخزن!$B$2:$H$201,2,FALSE()),"")</f>
        <v/>
      </c>
      <c r="E187" s="24"/>
      <c r="F187" s="26"/>
      <c r="G187" s="27" t="str">
        <f aca="false">IF(C187="","",E187*F187)</f>
        <v/>
      </c>
      <c r="H187" s="55" t="n">
        <f aca="false">IFERROR(VLOOKUP(C187,المخزن!$B$2:$H$201,7,FALSE()),0)</f>
        <v>0</v>
      </c>
      <c r="I187" s="27" t="str">
        <f aca="false">IF(C187="","",E187*H187)</f>
        <v/>
      </c>
    </row>
    <row r="188" customFormat="false" ht="15" hidden="false" customHeight="true" outlineLevel="0" collapsed="false">
      <c r="A188" s="21" t="str">
        <f aca="false">IF(C188="","",ROW()-1)</f>
        <v/>
      </c>
      <c r="B188" s="53"/>
      <c r="C188" s="22"/>
      <c r="D188" s="54" t="str">
        <f aca="false">IFERROR(VLOOKUP(C188,المخزن!$B$2:$H$201,2,FALSE()),"")</f>
        <v/>
      </c>
      <c r="E188" s="24"/>
      <c r="F188" s="26"/>
      <c r="G188" s="27" t="str">
        <f aca="false">IF(C188="","",E188*F188)</f>
        <v/>
      </c>
      <c r="H188" s="55" t="n">
        <f aca="false">IFERROR(VLOOKUP(C188,المخزن!$B$2:$H$201,7,FALSE()),0)</f>
        <v>0</v>
      </c>
      <c r="I188" s="27" t="str">
        <f aca="false">IF(C188="","",E188*H188)</f>
        <v/>
      </c>
    </row>
    <row r="189" customFormat="false" ht="15" hidden="false" customHeight="true" outlineLevel="0" collapsed="false">
      <c r="A189" s="21" t="str">
        <f aca="false">IF(C189="","",ROW()-1)</f>
        <v/>
      </c>
      <c r="B189" s="53"/>
      <c r="C189" s="22"/>
      <c r="D189" s="54" t="str">
        <f aca="false">IFERROR(VLOOKUP(C189,المخزن!$B$2:$H$201,2,FALSE()),"")</f>
        <v/>
      </c>
      <c r="E189" s="24"/>
      <c r="F189" s="26"/>
      <c r="G189" s="27" t="str">
        <f aca="false">IF(C189="","",E189*F189)</f>
        <v/>
      </c>
      <c r="H189" s="55" t="n">
        <f aca="false">IFERROR(VLOOKUP(C189,المخزن!$B$2:$H$201,7,FALSE()),0)</f>
        <v>0</v>
      </c>
      <c r="I189" s="27" t="str">
        <f aca="false">IF(C189="","",E189*H189)</f>
        <v/>
      </c>
    </row>
    <row r="190" customFormat="false" ht="15" hidden="false" customHeight="true" outlineLevel="0" collapsed="false">
      <c r="A190" s="21" t="str">
        <f aca="false">IF(C190="","",ROW()-1)</f>
        <v/>
      </c>
      <c r="B190" s="53"/>
      <c r="C190" s="22"/>
      <c r="D190" s="54" t="str">
        <f aca="false">IFERROR(VLOOKUP(C190,المخزن!$B$2:$H$201,2,FALSE()),"")</f>
        <v/>
      </c>
      <c r="E190" s="24"/>
      <c r="F190" s="26"/>
      <c r="G190" s="27" t="str">
        <f aca="false">IF(C190="","",E190*F190)</f>
        <v/>
      </c>
      <c r="H190" s="55" t="n">
        <f aca="false">IFERROR(VLOOKUP(C190,المخزن!$B$2:$H$201,7,FALSE()),0)</f>
        <v>0</v>
      </c>
      <c r="I190" s="27" t="str">
        <f aca="false">IF(C190="","",E190*H190)</f>
        <v/>
      </c>
    </row>
    <row r="191" customFormat="false" ht="15" hidden="false" customHeight="true" outlineLevel="0" collapsed="false">
      <c r="A191" s="21" t="str">
        <f aca="false">IF(C191="","",ROW()-1)</f>
        <v/>
      </c>
      <c r="B191" s="53"/>
      <c r="C191" s="22"/>
      <c r="D191" s="54" t="str">
        <f aca="false">IFERROR(VLOOKUP(C191,المخزن!$B$2:$H$201,2,FALSE()),"")</f>
        <v/>
      </c>
      <c r="E191" s="24"/>
      <c r="F191" s="26"/>
      <c r="G191" s="27" t="str">
        <f aca="false">IF(C191="","",E191*F191)</f>
        <v/>
      </c>
      <c r="H191" s="55" t="n">
        <f aca="false">IFERROR(VLOOKUP(C191,المخزن!$B$2:$H$201,7,FALSE()),0)</f>
        <v>0</v>
      </c>
      <c r="I191" s="27" t="str">
        <f aca="false">IF(C191="","",E191*H191)</f>
        <v/>
      </c>
    </row>
    <row r="192" customFormat="false" ht="15" hidden="false" customHeight="true" outlineLevel="0" collapsed="false">
      <c r="A192" s="21" t="str">
        <f aca="false">IF(C192="","",ROW()-1)</f>
        <v/>
      </c>
      <c r="B192" s="53"/>
      <c r="C192" s="22"/>
      <c r="D192" s="54" t="str">
        <f aca="false">IFERROR(VLOOKUP(C192,المخزن!$B$2:$H$201,2,FALSE()),"")</f>
        <v/>
      </c>
      <c r="E192" s="24"/>
      <c r="F192" s="26"/>
      <c r="G192" s="27" t="str">
        <f aca="false">IF(C192="","",E192*F192)</f>
        <v/>
      </c>
      <c r="H192" s="55" t="n">
        <f aca="false">IFERROR(VLOOKUP(C192,المخزن!$B$2:$H$201,7,FALSE()),0)</f>
        <v>0</v>
      </c>
      <c r="I192" s="27" t="str">
        <f aca="false">IF(C192="","",E192*H192)</f>
        <v/>
      </c>
    </row>
    <row r="193" customFormat="false" ht="15" hidden="false" customHeight="true" outlineLevel="0" collapsed="false">
      <c r="A193" s="21" t="str">
        <f aca="false">IF(C193="","",ROW()-1)</f>
        <v/>
      </c>
      <c r="B193" s="53"/>
      <c r="C193" s="22"/>
      <c r="D193" s="54" t="str">
        <f aca="false">IFERROR(VLOOKUP(C193,المخزن!$B$2:$H$201,2,FALSE()),"")</f>
        <v/>
      </c>
      <c r="E193" s="24"/>
      <c r="F193" s="26"/>
      <c r="G193" s="27" t="str">
        <f aca="false">IF(C193="","",E193*F193)</f>
        <v/>
      </c>
      <c r="H193" s="55" t="n">
        <f aca="false">IFERROR(VLOOKUP(C193,المخزن!$B$2:$H$201,7,FALSE()),0)</f>
        <v>0</v>
      </c>
      <c r="I193" s="27" t="str">
        <f aca="false">IF(C193="","",E193*H193)</f>
        <v/>
      </c>
    </row>
    <row r="194" customFormat="false" ht="15" hidden="false" customHeight="true" outlineLevel="0" collapsed="false">
      <c r="A194" s="21" t="str">
        <f aca="false">IF(C194="","",ROW()-1)</f>
        <v/>
      </c>
      <c r="B194" s="53"/>
      <c r="C194" s="22"/>
      <c r="D194" s="54" t="str">
        <f aca="false">IFERROR(VLOOKUP(C194,المخزن!$B$2:$H$201,2,FALSE()),"")</f>
        <v/>
      </c>
      <c r="E194" s="24"/>
      <c r="F194" s="26"/>
      <c r="G194" s="27" t="str">
        <f aca="false">IF(C194="","",E194*F194)</f>
        <v/>
      </c>
      <c r="H194" s="55" t="n">
        <f aca="false">IFERROR(VLOOKUP(C194,المخزن!$B$2:$H$201,7,FALSE()),0)</f>
        <v>0</v>
      </c>
      <c r="I194" s="27" t="str">
        <f aca="false">IF(C194="","",E194*H194)</f>
        <v/>
      </c>
    </row>
    <row r="195" customFormat="false" ht="15" hidden="false" customHeight="true" outlineLevel="0" collapsed="false">
      <c r="A195" s="21" t="str">
        <f aca="false">IF(C195="","",ROW()-1)</f>
        <v/>
      </c>
      <c r="B195" s="53"/>
      <c r="C195" s="22"/>
      <c r="D195" s="54" t="str">
        <f aca="false">IFERROR(VLOOKUP(C195,المخزن!$B$2:$H$201,2,FALSE()),"")</f>
        <v/>
      </c>
      <c r="E195" s="24"/>
      <c r="F195" s="26"/>
      <c r="G195" s="27" t="str">
        <f aca="false">IF(C195="","",E195*F195)</f>
        <v/>
      </c>
      <c r="H195" s="55" t="n">
        <f aca="false">IFERROR(VLOOKUP(C195,المخزن!$B$2:$H$201,7,FALSE()),0)</f>
        <v>0</v>
      </c>
      <c r="I195" s="27" t="str">
        <f aca="false">IF(C195="","",E195*H195)</f>
        <v/>
      </c>
    </row>
    <row r="196" customFormat="false" ht="15" hidden="false" customHeight="true" outlineLevel="0" collapsed="false">
      <c r="A196" s="21" t="str">
        <f aca="false">IF(C196="","",ROW()-1)</f>
        <v/>
      </c>
      <c r="B196" s="53"/>
      <c r="C196" s="22"/>
      <c r="D196" s="54" t="str">
        <f aca="false">IFERROR(VLOOKUP(C196,المخزن!$B$2:$H$201,2,FALSE()),"")</f>
        <v/>
      </c>
      <c r="E196" s="24"/>
      <c r="F196" s="26"/>
      <c r="G196" s="27" t="str">
        <f aca="false">IF(C196="","",E196*F196)</f>
        <v/>
      </c>
      <c r="H196" s="55" t="n">
        <f aca="false">IFERROR(VLOOKUP(C196,المخزن!$B$2:$H$201,7,FALSE()),0)</f>
        <v>0</v>
      </c>
      <c r="I196" s="27" t="str">
        <f aca="false">IF(C196="","",E196*H196)</f>
        <v/>
      </c>
    </row>
    <row r="197" customFormat="false" ht="15" hidden="false" customHeight="true" outlineLevel="0" collapsed="false">
      <c r="A197" s="21" t="str">
        <f aca="false">IF(C197="","",ROW()-1)</f>
        <v/>
      </c>
      <c r="B197" s="53"/>
      <c r="C197" s="22"/>
      <c r="D197" s="54" t="str">
        <f aca="false">IFERROR(VLOOKUP(C197,المخزن!$B$2:$H$201,2,FALSE()),"")</f>
        <v/>
      </c>
      <c r="E197" s="24"/>
      <c r="F197" s="26"/>
      <c r="G197" s="27" t="str">
        <f aca="false">IF(C197="","",E197*F197)</f>
        <v/>
      </c>
      <c r="H197" s="55" t="n">
        <f aca="false">IFERROR(VLOOKUP(C197,المخزن!$B$2:$H$201,7,FALSE()),0)</f>
        <v>0</v>
      </c>
      <c r="I197" s="27" t="str">
        <f aca="false">IF(C197="","",E197*H197)</f>
        <v/>
      </c>
    </row>
    <row r="198" customFormat="false" ht="15" hidden="false" customHeight="true" outlineLevel="0" collapsed="false">
      <c r="A198" s="21" t="str">
        <f aca="false">IF(C198="","",ROW()-1)</f>
        <v/>
      </c>
      <c r="B198" s="53"/>
      <c r="C198" s="22"/>
      <c r="D198" s="54" t="str">
        <f aca="false">IFERROR(VLOOKUP(C198,المخزن!$B$2:$H$201,2,FALSE()),"")</f>
        <v/>
      </c>
      <c r="E198" s="24"/>
      <c r="F198" s="26"/>
      <c r="G198" s="27" t="str">
        <f aca="false">IF(C198="","",E198*F198)</f>
        <v/>
      </c>
      <c r="H198" s="55" t="n">
        <f aca="false">IFERROR(VLOOKUP(C198,المخزن!$B$2:$H$201,7,FALSE()),0)</f>
        <v>0</v>
      </c>
      <c r="I198" s="27" t="str">
        <f aca="false">IF(C198="","",E198*H198)</f>
        <v/>
      </c>
    </row>
    <row r="199" customFormat="false" ht="15" hidden="false" customHeight="true" outlineLevel="0" collapsed="false">
      <c r="A199" s="21" t="str">
        <f aca="false">IF(C199="","",ROW()-1)</f>
        <v/>
      </c>
      <c r="B199" s="53"/>
      <c r="C199" s="22"/>
      <c r="D199" s="54" t="str">
        <f aca="false">IFERROR(VLOOKUP(C199,المخزن!$B$2:$H$201,2,FALSE()),"")</f>
        <v/>
      </c>
      <c r="E199" s="24"/>
      <c r="F199" s="26"/>
      <c r="G199" s="27" t="str">
        <f aca="false">IF(C199="","",E199*F199)</f>
        <v/>
      </c>
      <c r="H199" s="55" t="n">
        <f aca="false">IFERROR(VLOOKUP(C199,المخزن!$B$2:$H$201,7,FALSE()),0)</f>
        <v>0</v>
      </c>
      <c r="I199" s="27" t="str">
        <f aca="false">IF(C199="","",E199*H199)</f>
        <v/>
      </c>
    </row>
    <row r="200" customFormat="false" ht="15" hidden="false" customHeight="true" outlineLevel="0" collapsed="false">
      <c r="A200" s="21" t="str">
        <f aca="false">IF(C200="","",ROW()-1)</f>
        <v/>
      </c>
      <c r="B200" s="53"/>
      <c r="C200" s="22"/>
      <c r="D200" s="54" t="str">
        <f aca="false">IFERROR(VLOOKUP(C200,المخزن!$B$2:$H$201,2,FALSE()),"")</f>
        <v/>
      </c>
      <c r="E200" s="24"/>
      <c r="F200" s="26"/>
      <c r="G200" s="27" t="str">
        <f aca="false">IF(C200="","",E200*F200)</f>
        <v/>
      </c>
      <c r="H200" s="55" t="n">
        <f aca="false">IFERROR(VLOOKUP(C200,المخزن!$B$2:$H$201,7,FALSE()),0)</f>
        <v>0</v>
      </c>
      <c r="I200" s="27" t="str">
        <f aca="false">IF(C200="","",E200*H200)</f>
        <v/>
      </c>
    </row>
    <row r="201" customFormat="false" ht="15" hidden="false" customHeight="true" outlineLevel="0" collapsed="false">
      <c r="A201" s="21" t="str">
        <f aca="false">IF(C201="","",ROW()-1)</f>
        <v/>
      </c>
      <c r="B201" s="53"/>
      <c r="C201" s="22"/>
      <c r="D201" s="54" t="str">
        <f aca="false">IFERROR(VLOOKUP(C201,المخزن!$B$2:$H$201,2,FALSE()),"")</f>
        <v/>
      </c>
      <c r="E201" s="24"/>
      <c r="F201" s="26"/>
      <c r="G201" s="27" t="str">
        <f aca="false">IF(C201="","",E201*F201)</f>
        <v/>
      </c>
      <c r="H201" s="55" t="n">
        <f aca="false">IFERROR(VLOOKUP(C201,المخزن!$B$2:$H$201,7,FALSE()),0)</f>
        <v>0</v>
      </c>
      <c r="I201" s="27" t="str">
        <f aca="false">IF(C201="","",E201*H201)</f>
        <v/>
      </c>
    </row>
    <row r="202" customFormat="false" ht="15" hidden="false" customHeight="true" outlineLevel="0" collapsed="false">
      <c r="A202" s="21" t="str">
        <f aca="false">IF(C202="","",ROW()-1)</f>
        <v/>
      </c>
      <c r="B202" s="53"/>
      <c r="C202" s="22"/>
      <c r="D202" s="54" t="str">
        <f aca="false">IFERROR(VLOOKUP(C202,المخزن!$B$2:$H$201,2,FALSE()),"")</f>
        <v/>
      </c>
      <c r="E202" s="24"/>
      <c r="F202" s="26"/>
      <c r="G202" s="27" t="str">
        <f aca="false">IF(C202="","",E202*F202)</f>
        <v/>
      </c>
      <c r="H202" s="55" t="n">
        <f aca="false">IFERROR(VLOOKUP(C202,المخزن!$B$2:$H$201,7,FALSE()),0)</f>
        <v>0</v>
      </c>
      <c r="I202" s="27" t="str">
        <f aca="false">IF(C202="","",E202*H202)</f>
        <v/>
      </c>
    </row>
    <row r="203" customFormat="false" ht="15" hidden="false" customHeight="true" outlineLevel="0" collapsed="false">
      <c r="A203" s="21" t="str">
        <f aca="false">IF(C203="","",ROW()-1)</f>
        <v/>
      </c>
      <c r="B203" s="53"/>
      <c r="C203" s="22"/>
      <c r="D203" s="54" t="str">
        <f aca="false">IFERROR(VLOOKUP(C203,المخزن!$B$2:$H$201,2,FALSE()),"")</f>
        <v/>
      </c>
      <c r="E203" s="24"/>
      <c r="F203" s="26"/>
      <c r="G203" s="27" t="str">
        <f aca="false">IF(C203="","",E203*F203)</f>
        <v/>
      </c>
      <c r="H203" s="55" t="n">
        <f aca="false">IFERROR(VLOOKUP(C203,المخزن!$B$2:$H$201,7,FALSE()),0)</f>
        <v>0</v>
      </c>
      <c r="I203" s="27" t="str">
        <f aca="false">IF(C203="","",E203*H203)</f>
        <v/>
      </c>
    </row>
    <row r="204" customFormat="false" ht="15" hidden="false" customHeight="true" outlineLevel="0" collapsed="false">
      <c r="A204" s="21" t="str">
        <f aca="false">IF(C204="","",ROW()-1)</f>
        <v/>
      </c>
      <c r="B204" s="53"/>
      <c r="C204" s="22"/>
      <c r="D204" s="54" t="str">
        <f aca="false">IFERROR(VLOOKUP(C204,المخزن!$B$2:$H$201,2,FALSE()),"")</f>
        <v/>
      </c>
      <c r="E204" s="24"/>
      <c r="F204" s="26"/>
      <c r="G204" s="27" t="str">
        <f aca="false">IF(C204="","",E204*F204)</f>
        <v/>
      </c>
      <c r="H204" s="55" t="n">
        <f aca="false">IFERROR(VLOOKUP(C204,المخزن!$B$2:$H$201,7,FALSE()),0)</f>
        <v>0</v>
      </c>
      <c r="I204" s="27" t="str">
        <f aca="false">IF(C204="","",E204*H204)</f>
        <v/>
      </c>
    </row>
    <row r="205" customFormat="false" ht="15" hidden="false" customHeight="true" outlineLevel="0" collapsed="false">
      <c r="A205" s="21" t="str">
        <f aca="false">IF(C205="","",ROW()-1)</f>
        <v/>
      </c>
      <c r="B205" s="53"/>
      <c r="C205" s="22"/>
      <c r="D205" s="54" t="str">
        <f aca="false">IFERROR(VLOOKUP(C205,المخزن!$B$2:$H$201,2,FALSE()),"")</f>
        <v/>
      </c>
      <c r="E205" s="24"/>
      <c r="F205" s="26"/>
      <c r="G205" s="27" t="str">
        <f aca="false">IF(C205="","",E205*F205)</f>
        <v/>
      </c>
      <c r="H205" s="55" t="n">
        <f aca="false">IFERROR(VLOOKUP(C205,المخزن!$B$2:$H$201,7,FALSE()),0)</f>
        <v>0</v>
      </c>
      <c r="I205" s="27" t="str">
        <f aca="false">IF(C205="","",E205*H205)</f>
        <v/>
      </c>
    </row>
    <row r="206" customFormat="false" ht="15" hidden="false" customHeight="true" outlineLevel="0" collapsed="false">
      <c r="A206" s="21" t="str">
        <f aca="false">IF(C206="","",ROW()-1)</f>
        <v/>
      </c>
      <c r="B206" s="53"/>
      <c r="C206" s="22"/>
      <c r="D206" s="54" t="str">
        <f aca="false">IFERROR(VLOOKUP(C206,المخزن!$B$2:$H$201,2,FALSE()),"")</f>
        <v/>
      </c>
      <c r="E206" s="24"/>
      <c r="F206" s="26"/>
      <c r="G206" s="27" t="str">
        <f aca="false">IF(C206="","",E206*F206)</f>
        <v/>
      </c>
      <c r="H206" s="55" t="n">
        <f aca="false">IFERROR(VLOOKUP(C206,المخزن!$B$2:$H$201,7,FALSE()),0)</f>
        <v>0</v>
      </c>
      <c r="I206" s="27" t="str">
        <f aca="false">IF(C206="","",E206*H206)</f>
        <v/>
      </c>
    </row>
    <row r="207" customFormat="false" ht="15" hidden="false" customHeight="true" outlineLevel="0" collapsed="false">
      <c r="A207" s="21" t="str">
        <f aca="false">IF(C207="","",ROW()-1)</f>
        <v/>
      </c>
      <c r="B207" s="53"/>
      <c r="C207" s="22"/>
      <c r="D207" s="54" t="str">
        <f aca="false">IFERROR(VLOOKUP(C207,المخزن!$B$2:$H$201,2,FALSE()),"")</f>
        <v/>
      </c>
      <c r="E207" s="24"/>
      <c r="F207" s="26"/>
      <c r="G207" s="27" t="str">
        <f aca="false">IF(C207="","",E207*F207)</f>
        <v/>
      </c>
      <c r="H207" s="55" t="n">
        <f aca="false">IFERROR(VLOOKUP(C207,المخزن!$B$2:$H$201,7,FALSE()),0)</f>
        <v>0</v>
      </c>
      <c r="I207" s="27" t="str">
        <f aca="false">IF(C207="","",E207*H207)</f>
        <v/>
      </c>
    </row>
    <row r="208" customFormat="false" ht="15" hidden="false" customHeight="true" outlineLevel="0" collapsed="false">
      <c r="A208" s="21" t="str">
        <f aca="false">IF(C208="","",ROW()-1)</f>
        <v/>
      </c>
      <c r="B208" s="53"/>
      <c r="C208" s="22"/>
      <c r="D208" s="54" t="str">
        <f aca="false">IFERROR(VLOOKUP(C208,المخزن!$B$2:$H$201,2,FALSE()),"")</f>
        <v/>
      </c>
      <c r="E208" s="24"/>
      <c r="F208" s="26"/>
      <c r="G208" s="27" t="str">
        <f aca="false">IF(C208="","",E208*F208)</f>
        <v/>
      </c>
      <c r="H208" s="55" t="n">
        <f aca="false">IFERROR(VLOOKUP(C208,المخزن!$B$2:$H$201,7,FALSE()),0)</f>
        <v>0</v>
      </c>
      <c r="I208" s="27" t="str">
        <f aca="false">IF(C208="","",E208*H208)</f>
        <v/>
      </c>
    </row>
    <row r="209" customFormat="false" ht="15" hidden="false" customHeight="true" outlineLevel="0" collapsed="false">
      <c r="A209" s="21" t="str">
        <f aca="false">IF(C209="","",ROW()-1)</f>
        <v/>
      </c>
      <c r="B209" s="53"/>
      <c r="C209" s="22"/>
      <c r="D209" s="54" t="str">
        <f aca="false">IFERROR(VLOOKUP(C209,المخزن!$B$2:$H$201,2,FALSE()),"")</f>
        <v/>
      </c>
      <c r="E209" s="24"/>
      <c r="F209" s="26"/>
      <c r="G209" s="27" t="str">
        <f aca="false">IF(C209="","",E209*F209)</f>
        <v/>
      </c>
      <c r="H209" s="55" t="n">
        <f aca="false">IFERROR(VLOOKUP(C209,المخزن!$B$2:$H$201,7,FALSE()),0)</f>
        <v>0</v>
      </c>
      <c r="I209" s="27" t="str">
        <f aca="false">IF(C209="","",E209*H209)</f>
        <v/>
      </c>
    </row>
    <row r="210" customFormat="false" ht="15" hidden="false" customHeight="true" outlineLevel="0" collapsed="false">
      <c r="A210" s="21" t="str">
        <f aca="false">IF(C210="","",ROW()-1)</f>
        <v/>
      </c>
      <c r="B210" s="53"/>
      <c r="C210" s="22"/>
      <c r="D210" s="54" t="str">
        <f aca="false">IFERROR(VLOOKUP(C210,المخزن!$B$2:$H$201,2,FALSE()),"")</f>
        <v/>
      </c>
      <c r="E210" s="24"/>
      <c r="F210" s="26"/>
      <c r="G210" s="27" t="str">
        <f aca="false">IF(C210="","",E210*F210)</f>
        <v/>
      </c>
      <c r="H210" s="55" t="n">
        <f aca="false">IFERROR(VLOOKUP(C210,المخزن!$B$2:$H$201,7,FALSE()),0)</f>
        <v>0</v>
      </c>
      <c r="I210" s="27" t="str">
        <f aca="false">IF(C210="","",E210*H210)</f>
        <v/>
      </c>
    </row>
    <row r="211" customFormat="false" ht="15" hidden="false" customHeight="true" outlineLevel="0" collapsed="false">
      <c r="A211" s="21" t="str">
        <f aca="false">IF(C211="","",ROW()-1)</f>
        <v/>
      </c>
      <c r="B211" s="53"/>
      <c r="C211" s="22"/>
      <c r="D211" s="54" t="str">
        <f aca="false">IFERROR(VLOOKUP(C211,المخزن!$B$2:$H$201,2,FALSE()),"")</f>
        <v/>
      </c>
      <c r="E211" s="24"/>
      <c r="F211" s="26"/>
      <c r="G211" s="27" t="str">
        <f aca="false">IF(C211="","",E211*F211)</f>
        <v/>
      </c>
      <c r="H211" s="55" t="n">
        <f aca="false">IFERROR(VLOOKUP(C211,المخزن!$B$2:$H$201,7,FALSE()),0)</f>
        <v>0</v>
      </c>
      <c r="I211" s="27" t="str">
        <f aca="false">IF(C211="","",E211*H211)</f>
        <v/>
      </c>
    </row>
    <row r="212" customFormat="false" ht="15" hidden="false" customHeight="true" outlineLevel="0" collapsed="false">
      <c r="A212" s="21" t="str">
        <f aca="false">IF(C212="","",ROW()-1)</f>
        <v/>
      </c>
      <c r="B212" s="53"/>
      <c r="C212" s="22"/>
      <c r="D212" s="54" t="str">
        <f aca="false">IFERROR(VLOOKUP(C212,المخزن!$B$2:$H$201,2,FALSE()),"")</f>
        <v/>
      </c>
      <c r="E212" s="24"/>
      <c r="F212" s="26"/>
      <c r="G212" s="27" t="str">
        <f aca="false">IF(C212="","",E212*F212)</f>
        <v/>
      </c>
      <c r="H212" s="55" t="n">
        <f aca="false">IFERROR(VLOOKUP(C212,المخزن!$B$2:$H$201,7,FALSE()),0)</f>
        <v>0</v>
      </c>
      <c r="I212" s="27" t="str">
        <f aca="false">IF(C212="","",E212*H212)</f>
        <v/>
      </c>
    </row>
    <row r="213" customFormat="false" ht="15" hidden="false" customHeight="true" outlineLevel="0" collapsed="false">
      <c r="A213" s="21" t="str">
        <f aca="false">IF(C213="","",ROW()-1)</f>
        <v/>
      </c>
      <c r="B213" s="53"/>
      <c r="C213" s="22"/>
      <c r="D213" s="54" t="str">
        <f aca="false">IFERROR(VLOOKUP(C213,المخزن!$B$2:$H$201,2,FALSE()),"")</f>
        <v/>
      </c>
      <c r="E213" s="24"/>
      <c r="F213" s="26"/>
      <c r="G213" s="27" t="str">
        <f aca="false">IF(C213="","",E213*F213)</f>
        <v/>
      </c>
      <c r="H213" s="55" t="n">
        <f aca="false">IFERROR(VLOOKUP(C213,المخزن!$B$2:$H$201,7,FALSE()),0)</f>
        <v>0</v>
      </c>
      <c r="I213" s="27" t="str">
        <f aca="false">IF(C213="","",E213*H213)</f>
        <v/>
      </c>
    </row>
    <row r="214" customFormat="false" ht="15" hidden="false" customHeight="true" outlineLevel="0" collapsed="false">
      <c r="A214" s="21" t="str">
        <f aca="false">IF(C214="","",ROW()-1)</f>
        <v/>
      </c>
      <c r="B214" s="53"/>
      <c r="C214" s="22"/>
      <c r="D214" s="54" t="str">
        <f aca="false">IFERROR(VLOOKUP(C214,المخزن!$B$2:$H$201,2,FALSE()),"")</f>
        <v/>
      </c>
      <c r="E214" s="24"/>
      <c r="F214" s="26"/>
      <c r="G214" s="27" t="str">
        <f aca="false">IF(C214="","",E214*F214)</f>
        <v/>
      </c>
      <c r="H214" s="55" t="n">
        <f aca="false">IFERROR(VLOOKUP(C214,المخزن!$B$2:$H$201,7,FALSE()),0)</f>
        <v>0</v>
      </c>
      <c r="I214" s="27" t="str">
        <f aca="false">IF(C214="","",E214*H214)</f>
        <v/>
      </c>
    </row>
    <row r="215" customFormat="false" ht="15" hidden="false" customHeight="true" outlineLevel="0" collapsed="false">
      <c r="A215" s="21" t="str">
        <f aca="false">IF(C215="","",ROW()-1)</f>
        <v/>
      </c>
      <c r="B215" s="53"/>
      <c r="C215" s="22"/>
      <c r="D215" s="54" t="str">
        <f aca="false">IFERROR(VLOOKUP(C215,المخزن!$B$2:$H$201,2,FALSE()),"")</f>
        <v/>
      </c>
      <c r="E215" s="24"/>
      <c r="F215" s="26"/>
      <c r="G215" s="27" t="str">
        <f aca="false">IF(C215="","",E215*F215)</f>
        <v/>
      </c>
      <c r="H215" s="55" t="n">
        <f aca="false">IFERROR(VLOOKUP(C215,المخزن!$B$2:$H$201,7,FALSE()),0)</f>
        <v>0</v>
      </c>
      <c r="I215" s="27" t="str">
        <f aca="false">IF(C215="","",E215*H215)</f>
        <v/>
      </c>
    </row>
    <row r="216" customFormat="false" ht="15" hidden="false" customHeight="true" outlineLevel="0" collapsed="false">
      <c r="A216" s="21" t="str">
        <f aca="false">IF(C216="","",ROW()-1)</f>
        <v/>
      </c>
      <c r="B216" s="53"/>
      <c r="C216" s="22"/>
      <c r="D216" s="54" t="str">
        <f aca="false">IFERROR(VLOOKUP(C216,المخزن!$B$2:$H$201,2,FALSE()),"")</f>
        <v/>
      </c>
      <c r="E216" s="24"/>
      <c r="F216" s="26"/>
      <c r="G216" s="27" t="str">
        <f aca="false">IF(C216="","",E216*F216)</f>
        <v/>
      </c>
      <c r="H216" s="55" t="n">
        <f aca="false">IFERROR(VLOOKUP(C216,المخزن!$B$2:$H$201,7,FALSE()),0)</f>
        <v>0</v>
      </c>
      <c r="I216" s="27" t="str">
        <f aca="false">IF(C216="","",E216*H216)</f>
        <v/>
      </c>
    </row>
    <row r="217" customFormat="false" ht="15" hidden="false" customHeight="true" outlineLevel="0" collapsed="false">
      <c r="A217" s="21" t="str">
        <f aca="false">IF(C217="","",ROW()-1)</f>
        <v/>
      </c>
      <c r="B217" s="53"/>
      <c r="C217" s="22"/>
      <c r="D217" s="54" t="str">
        <f aca="false">IFERROR(VLOOKUP(C217,المخزن!$B$2:$H$201,2,FALSE()),"")</f>
        <v/>
      </c>
      <c r="E217" s="24"/>
      <c r="F217" s="26"/>
      <c r="G217" s="27" t="str">
        <f aca="false">IF(C217="","",E217*F217)</f>
        <v/>
      </c>
      <c r="H217" s="55" t="n">
        <f aca="false">IFERROR(VLOOKUP(C217,المخزن!$B$2:$H$201,7,FALSE()),0)</f>
        <v>0</v>
      </c>
      <c r="I217" s="27" t="str">
        <f aca="false">IF(C217="","",E217*H217)</f>
        <v/>
      </c>
    </row>
    <row r="218" customFormat="false" ht="15" hidden="false" customHeight="true" outlineLevel="0" collapsed="false">
      <c r="A218" s="21" t="str">
        <f aca="false">IF(C218="","",ROW()-1)</f>
        <v/>
      </c>
      <c r="B218" s="53"/>
      <c r="C218" s="22"/>
      <c r="D218" s="54" t="str">
        <f aca="false">IFERROR(VLOOKUP(C218,المخزن!$B$2:$H$201,2,FALSE()),"")</f>
        <v/>
      </c>
      <c r="E218" s="24"/>
      <c r="F218" s="26"/>
      <c r="G218" s="27" t="str">
        <f aca="false">IF(C218="","",E218*F218)</f>
        <v/>
      </c>
      <c r="H218" s="55" t="n">
        <f aca="false">IFERROR(VLOOKUP(C218,المخزن!$B$2:$H$201,7,FALSE()),0)</f>
        <v>0</v>
      </c>
      <c r="I218" s="27" t="str">
        <f aca="false">IF(C218="","",E218*H218)</f>
        <v/>
      </c>
    </row>
    <row r="219" customFormat="false" ht="15" hidden="false" customHeight="true" outlineLevel="0" collapsed="false">
      <c r="A219" s="21" t="str">
        <f aca="false">IF(C219="","",ROW()-1)</f>
        <v/>
      </c>
      <c r="B219" s="53"/>
      <c r="C219" s="22"/>
      <c r="D219" s="54" t="str">
        <f aca="false">IFERROR(VLOOKUP(C219,المخزن!$B$2:$H$201,2,FALSE()),"")</f>
        <v/>
      </c>
      <c r="E219" s="24"/>
      <c r="F219" s="26"/>
      <c r="G219" s="27" t="str">
        <f aca="false">IF(C219="","",E219*F219)</f>
        <v/>
      </c>
      <c r="H219" s="55" t="n">
        <f aca="false">IFERROR(VLOOKUP(C219,المخزن!$B$2:$H$201,7,FALSE()),0)</f>
        <v>0</v>
      </c>
      <c r="I219" s="27" t="str">
        <f aca="false">IF(C219="","",E219*H219)</f>
        <v/>
      </c>
    </row>
    <row r="220" customFormat="false" ht="15" hidden="false" customHeight="true" outlineLevel="0" collapsed="false">
      <c r="A220" s="21" t="str">
        <f aca="false">IF(C220="","",ROW()-1)</f>
        <v/>
      </c>
      <c r="B220" s="53"/>
      <c r="C220" s="22"/>
      <c r="D220" s="54" t="str">
        <f aca="false">IFERROR(VLOOKUP(C220,المخزن!$B$2:$H$201,2,FALSE()),"")</f>
        <v/>
      </c>
      <c r="E220" s="24"/>
      <c r="F220" s="26"/>
      <c r="G220" s="27" t="str">
        <f aca="false">IF(C220="","",E220*F220)</f>
        <v/>
      </c>
      <c r="H220" s="55" t="n">
        <f aca="false">IFERROR(VLOOKUP(C220,المخزن!$B$2:$H$201,7,FALSE()),0)</f>
        <v>0</v>
      </c>
      <c r="I220" s="27" t="str">
        <f aca="false">IF(C220="","",E220*H220)</f>
        <v/>
      </c>
    </row>
    <row r="221" customFormat="false" ht="15" hidden="false" customHeight="true" outlineLevel="0" collapsed="false">
      <c r="A221" s="21" t="str">
        <f aca="false">IF(C221="","",ROW()-1)</f>
        <v/>
      </c>
      <c r="B221" s="53"/>
      <c r="C221" s="22"/>
      <c r="D221" s="54" t="str">
        <f aca="false">IFERROR(VLOOKUP(C221,المخزن!$B$2:$H$201,2,FALSE()),"")</f>
        <v/>
      </c>
      <c r="E221" s="24"/>
      <c r="F221" s="26"/>
      <c r="G221" s="27" t="str">
        <f aca="false">IF(C221="","",E221*F221)</f>
        <v/>
      </c>
      <c r="H221" s="55" t="n">
        <f aca="false">IFERROR(VLOOKUP(C221,المخزن!$B$2:$H$201,7,FALSE()),0)</f>
        <v>0</v>
      </c>
      <c r="I221" s="27" t="str">
        <f aca="false">IF(C221="","",E221*H221)</f>
        <v/>
      </c>
    </row>
    <row r="222" customFormat="false" ht="15" hidden="false" customHeight="true" outlineLevel="0" collapsed="false">
      <c r="A222" s="21" t="str">
        <f aca="false">IF(C222="","",ROW()-1)</f>
        <v/>
      </c>
      <c r="B222" s="53"/>
      <c r="C222" s="22"/>
      <c r="D222" s="54" t="str">
        <f aca="false">IFERROR(VLOOKUP(C222,المخزن!$B$2:$H$201,2,FALSE()),"")</f>
        <v/>
      </c>
      <c r="E222" s="24"/>
      <c r="F222" s="26"/>
      <c r="G222" s="27" t="str">
        <f aca="false">IF(C222="","",E222*F222)</f>
        <v/>
      </c>
      <c r="H222" s="55" t="n">
        <f aca="false">IFERROR(VLOOKUP(C222,المخزن!$B$2:$H$201,7,FALSE()),0)</f>
        <v>0</v>
      </c>
      <c r="I222" s="27" t="str">
        <f aca="false">IF(C222="","",E222*H222)</f>
        <v/>
      </c>
    </row>
    <row r="223" customFormat="false" ht="15" hidden="false" customHeight="true" outlineLevel="0" collapsed="false">
      <c r="A223" s="21" t="str">
        <f aca="false">IF(C223="","",ROW()-1)</f>
        <v/>
      </c>
      <c r="B223" s="53"/>
      <c r="C223" s="22"/>
      <c r="D223" s="54" t="str">
        <f aca="false">IFERROR(VLOOKUP(C223,المخزن!$B$2:$H$201,2,FALSE()),"")</f>
        <v/>
      </c>
      <c r="E223" s="24"/>
      <c r="F223" s="26"/>
      <c r="G223" s="27" t="str">
        <f aca="false">IF(C223="","",E223*F223)</f>
        <v/>
      </c>
      <c r="H223" s="55" t="n">
        <f aca="false">IFERROR(VLOOKUP(C223,المخزن!$B$2:$H$201,7,FALSE()),0)</f>
        <v>0</v>
      </c>
      <c r="I223" s="27" t="str">
        <f aca="false">IF(C223="","",E223*H223)</f>
        <v/>
      </c>
    </row>
    <row r="224" customFormat="false" ht="15" hidden="false" customHeight="true" outlineLevel="0" collapsed="false">
      <c r="A224" s="21" t="str">
        <f aca="false">IF(C224="","",ROW()-1)</f>
        <v/>
      </c>
      <c r="B224" s="53"/>
      <c r="C224" s="22"/>
      <c r="D224" s="54" t="str">
        <f aca="false">IFERROR(VLOOKUP(C224,المخزن!$B$2:$H$201,2,FALSE()),"")</f>
        <v/>
      </c>
      <c r="E224" s="24"/>
      <c r="F224" s="26"/>
      <c r="G224" s="27" t="str">
        <f aca="false">IF(C224="","",E224*F224)</f>
        <v/>
      </c>
      <c r="H224" s="55" t="n">
        <f aca="false">IFERROR(VLOOKUP(C224,المخزن!$B$2:$H$201,7,FALSE()),0)</f>
        <v>0</v>
      </c>
      <c r="I224" s="27" t="str">
        <f aca="false">IF(C224="","",E224*H224)</f>
        <v/>
      </c>
    </row>
    <row r="225" customFormat="false" ht="15" hidden="false" customHeight="true" outlineLevel="0" collapsed="false">
      <c r="A225" s="21" t="str">
        <f aca="false">IF(C225="","",ROW()-1)</f>
        <v/>
      </c>
      <c r="B225" s="53"/>
      <c r="C225" s="22"/>
      <c r="D225" s="54" t="str">
        <f aca="false">IFERROR(VLOOKUP(C225,المخزن!$B$2:$H$201,2,FALSE()),"")</f>
        <v/>
      </c>
      <c r="E225" s="24"/>
      <c r="F225" s="26"/>
      <c r="G225" s="27" t="str">
        <f aca="false">IF(C225="","",E225*F225)</f>
        <v/>
      </c>
      <c r="H225" s="55" t="n">
        <f aca="false">IFERROR(VLOOKUP(C225,المخزن!$B$2:$H$201,7,FALSE()),0)</f>
        <v>0</v>
      </c>
      <c r="I225" s="27" t="str">
        <f aca="false">IF(C225="","",E225*H225)</f>
        <v/>
      </c>
    </row>
    <row r="226" customFormat="false" ht="15" hidden="false" customHeight="true" outlineLevel="0" collapsed="false">
      <c r="A226" s="21" t="str">
        <f aca="false">IF(C226="","",ROW()-1)</f>
        <v/>
      </c>
      <c r="B226" s="53"/>
      <c r="C226" s="22"/>
      <c r="D226" s="54" t="str">
        <f aca="false">IFERROR(VLOOKUP(C226,المخزن!$B$2:$H$201,2,FALSE()),"")</f>
        <v/>
      </c>
      <c r="E226" s="24"/>
      <c r="F226" s="26"/>
      <c r="G226" s="27" t="str">
        <f aca="false">IF(C226="","",E226*F226)</f>
        <v/>
      </c>
      <c r="H226" s="55" t="n">
        <f aca="false">IFERROR(VLOOKUP(C226,المخزن!$B$2:$H$201,7,FALSE()),0)</f>
        <v>0</v>
      </c>
      <c r="I226" s="27" t="str">
        <f aca="false">IF(C226="","",E226*H226)</f>
        <v/>
      </c>
    </row>
    <row r="227" customFormat="false" ht="15" hidden="false" customHeight="true" outlineLevel="0" collapsed="false">
      <c r="A227" s="21" t="str">
        <f aca="false">IF(C227="","",ROW()-1)</f>
        <v/>
      </c>
      <c r="B227" s="53"/>
      <c r="C227" s="22"/>
      <c r="D227" s="54" t="str">
        <f aca="false">IFERROR(VLOOKUP(C227,المخزن!$B$2:$H$201,2,FALSE()),"")</f>
        <v/>
      </c>
      <c r="E227" s="24"/>
      <c r="F227" s="26"/>
      <c r="G227" s="27" t="str">
        <f aca="false">IF(C227="","",E227*F227)</f>
        <v/>
      </c>
      <c r="H227" s="55" t="n">
        <f aca="false">IFERROR(VLOOKUP(C227,المخزن!$B$2:$H$201,7,FALSE()),0)</f>
        <v>0</v>
      </c>
      <c r="I227" s="27" t="str">
        <f aca="false">IF(C227="","",E227*H227)</f>
        <v/>
      </c>
    </row>
    <row r="228" customFormat="false" ht="15" hidden="false" customHeight="true" outlineLevel="0" collapsed="false">
      <c r="A228" s="21" t="str">
        <f aca="false">IF(C228="","",ROW()-1)</f>
        <v/>
      </c>
      <c r="B228" s="53"/>
      <c r="C228" s="22"/>
      <c r="D228" s="54" t="str">
        <f aca="false">IFERROR(VLOOKUP(C228,المخزن!$B$2:$H$201,2,FALSE()),"")</f>
        <v/>
      </c>
      <c r="E228" s="24"/>
      <c r="F228" s="26"/>
      <c r="G228" s="27" t="str">
        <f aca="false">IF(C228="","",E228*F228)</f>
        <v/>
      </c>
      <c r="H228" s="55" t="n">
        <f aca="false">IFERROR(VLOOKUP(C228,المخزن!$B$2:$H$201,7,FALSE()),0)</f>
        <v>0</v>
      </c>
      <c r="I228" s="27" t="str">
        <f aca="false">IF(C228="","",E228*H228)</f>
        <v/>
      </c>
    </row>
    <row r="229" customFormat="false" ht="15" hidden="false" customHeight="true" outlineLevel="0" collapsed="false">
      <c r="A229" s="21" t="str">
        <f aca="false">IF(C229="","",ROW()-1)</f>
        <v/>
      </c>
      <c r="B229" s="53"/>
      <c r="C229" s="22"/>
      <c r="D229" s="54" t="str">
        <f aca="false">IFERROR(VLOOKUP(C229,المخزن!$B$2:$H$201,2,FALSE()),"")</f>
        <v/>
      </c>
      <c r="E229" s="24"/>
      <c r="F229" s="26"/>
      <c r="G229" s="27" t="str">
        <f aca="false">IF(C229="","",E229*F229)</f>
        <v/>
      </c>
      <c r="H229" s="55" t="n">
        <f aca="false">IFERROR(VLOOKUP(C229,المخزن!$B$2:$H$201,7,FALSE()),0)</f>
        <v>0</v>
      </c>
      <c r="I229" s="27" t="str">
        <f aca="false">IF(C229="","",E229*H229)</f>
        <v/>
      </c>
    </row>
    <row r="230" customFormat="false" ht="15" hidden="false" customHeight="true" outlineLevel="0" collapsed="false">
      <c r="A230" s="21" t="str">
        <f aca="false">IF(C230="","",ROW()-1)</f>
        <v/>
      </c>
      <c r="B230" s="53"/>
      <c r="C230" s="22"/>
      <c r="D230" s="54" t="str">
        <f aca="false">IFERROR(VLOOKUP(C230,المخزن!$B$2:$H$201,2,FALSE()),"")</f>
        <v/>
      </c>
      <c r="E230" s="24"/>
      <c r="F230" s="26"/>
      <c r="G230" s="27" t="str">
        <f aca="false">IF(C230="","",E230*F230)</f>
        <v/>
      </c>
      <c r="H230" s="55" t="n">
        <f aca="false">IFERROR(VLOOKUP(C230,المخزن!$B$2:$H$201,7,FALSE()),0)</f>
        <v>0</v>
      </c>
      <c r="I230" s="27" t="str">
        <f aca="false">IF(C230="","",E230*H230)</f>
        <v/>
      </c>
    </row>
    <row r="231" customFormat="false" ht="15" hidden="false" customHeight="true" outlineLevel="0" collapsed="false">
      <c r="A231" s="21" t="str">
        <f aca="false">IF(C231="","",ROW()-1)</f>
        <v/>
      </c>
      <c r="B231" s="53"/>
      <c r="C231" s="22"/>
      <c r="D231" s="54" t="str">
        <f aca="false">IFERROR(VLOOKUP(C231,المخزن!$B$2:$H$201,2,FALSE()),"")</f>
        <v/>
      </c>
      <c r="E231" s="24"/>
      <c r="F231" s="26"/>
      <c r="G231" s="27" t="str">
        <f aca="false">IF(C231="","",E231*F231)</f>
        <v/>
      </c>
      <c r="H231" s="55" t="n">
        <f aca="false">IFERROR(VLOOKUP(C231,المخزن!$B$2:$H$201,7,FALSE()),0)</f>
        <v>0</v>
      </c>
      <c r="I231" s="27" t="str">
        <f aca="false">IF(C231="","",E231*H231)</f>
        <v/>
      </c>
    </row>
    <row r="232" customFormat="false" ht="15" hidden="false" customHeight="true" outlineLevel="0" collapsed="false">
      <c r="A232" s="21" t="str">
        <f aca="false">IF(C232="","",ROW()-1)</f>
        <v/>
      </c>
      <c r="B232" s="53"/>
      <c r="C232" s="22"/>
      <c r="D232" s="54" t="str">
        <f aca="false">IFERROR(VLOOKUP(C232,المخزن!$B$2:$H$201,2,FALSE()),"")</f>
        <v/>
      </c>
      <c r="E232" s="24"/>
      <c r="F232" s="26"/>
      <c r="G232" s="27" t="str">
        <f aca="false">IF(C232="","",E232*F232)</f>
        <v/>
      </c>
      <c r="H232" s="55" t="n">
        <f aca="false">IFERROR(VLOOKUP(C232,المخزن!$B$2:$H$201,7,FALSE()),0)</f>
        <v>0</v>
      </c>
      <c r="I232" s="27" t="str">
        <f aca="false">IF(C232="","",E232*H232)</f>
        <v/>
      </c>
    </row>
    <row r="233" customFormat="false" ht="15" hidden="false" customHeight="true" outlineLevel="0" collapsed="false">
      <c r="A233" s="21" t="str">
        <f aca="false">IF(C233="","",ROW()-1)</f>
        <v/>
      </c>
      <c r="B233" s="53"/>
      <c r="C233" s="22"/>
      <c r="D233" s="54" t="str">
        <f aca="false">IFERROR(VLOOKUP(C233,المخزن!$B$2:$H$201,2,FALSE()),"")</f>
        <v/>
      </c>
      <c r="E233" s="24"/>
      <c r="F233" s="26"/>
      <c r="G233" s="27" t="str">
        <f aca="false">IF(C233="","",E233*F233)</f>
        <v/>
      </c>
      <c r="H233" s="55" t="n">
        <f aca="false">IFERROR(VLOOKUP(C233,المخزن!$B$2:$H$201,7,FALSE()),0)</f>
        <v>0</v>
      </c>
      <c r="I233" s="27" t="str">
        <f aca="false">IF(C233="","",E233*H233)</f>
        <v/>
      </c>
    </row>
    <row r="234" customFormat="false" ht="15" hidden="false" customHeight="true" outlineLevel="0" collapsed="false">
      <c r="A234" s="21" t="str">
        <f aca="false">IF(C234="","",ROW()-1)</f>
        <v/>
      </c>
      <c r="B234" s="53"/>
      <c r="C234" s="22"/>
      <c r="D234" s="54" t="str">
        <f aca="false">IFERROR(VLOOKUP(C234,المخزن!$B$2:$H$201,2,FALSE()),"")</f>
        <v/>
      </c>
      <c r="E234" s="24"/>
      <c r="F234" s="26"/>
      <c r="G234" s="27" t="str">
        <f aca="false">IF(C234="","",E234*F234)</f>
        <v/>
      </c>
      <c r="H234" s="55" t="n">
        <f aca="false">IFERROR(VLOOKUP(C234,المخزن!$B$2:$H$201,7,FALSE()),0)</f>
        <v>0</v>
      </c>
      <c r="I234" s="27" t="str">
        <f aca="false">IF(C234="","",E234*H234)</f>
        <v/>
      </c>
    </row>
    <row r="235" customFormat="false" ht="15" hidden="false" customHeight="true" outlineLevel="0" collapsed="false">
      <c r="A235" s="21" t="str">
        <f aca="false">IF(C235="","",ROW()-1)</f>
        <v/>
      </c>
      <c r="B235" s="53"/>
      <c r="C235" s="22"/>
      <c r="D235" s="54" t="str">
        <f aca="false">IFERROR(VLOOKUP(C235,المخزن!$B$2:$H$201,2,FALSE()),"")</f>
        <v/>
      </c>
      <c r="E235" s="24"/>
      <c r="F235" s="26"/>
      <c r="G235" s="27" t="str">
        <f aca="false">IF(C235="","",E235*F235)</f>
        <v/>
      </c>
      <c r="H235" s="55" t="n">
        <f aca="false">IFERROR(VLOOKUP(C235,المخزن!$B$2:$H$201,7,FALSE()),0)</f>
        <v>0</v>
      </c>
      <c r="I235" s="27" t="str">
        <f aca="false">IF(C235="","",E235*H235)</f>
        <v/>
      </c>
    </row>
    <row r="236" customFormat="false" ht="15" hidden="false" customHeight="true" outlineLevel="0" collapsed="false">
      <c r="A236" s="21" t="str">
        <f aca="false">IF(C236="","",ROW()-1)</f>
        <v/>
      </c>
      <c r="B236" s="53"/>
      <c r="C236" s="22"/>
      <c r="D236" s="54" t="str">
        <f aca="false">IFERROR(VLOOKUP(C236,المخزن!$B$2:$H$201,2,FALSE()),"")</f>
        <v/>
      </c>
      <c r="E236" s="24"/>
      <c r="F236" s="26"/>
      <c r="G236" s="27" t="str">
        <f aca="false">IF(C236="","",E236*F236)</f>
        <v/>
      </c>
      <c r="H236" s="55" t="n">
        <f aca="false">IFERROR(VLOOKUP(C236,المخزن!$B$2:$H$201,7,FALSE()),0)</f>
        <v>0</v>
      </c>
      <c r="I236" s="27" t="str">
        <f aca="false">IF(C236="","",E236*H236)</f>
        <v/>
      </c>
    </row>
    <row r="237" customFormat="false" ht="15" hidden="false" customHeight="true" outlineLevel="0" collapsed="false">
      <c r="A237" s="21" t="str">
        <f aca="false">IF(C237="","",ROW()-1)</f>
        <v/>
      </c>
      <c r="B237" s="53"/>
      <c r="C237" s="22"/>
      <c r="D237" s="54" t="str">
        <f aca="false">IFERROR(VLOOKUP(C237,المخزن!$B$2:$H$201,2,FALSE()),"")</f>
        <v/>
      </c>
      <c r="E237" s="24"/>
      <c r="F237" s="26"/>
      <c r="G237" s="27" t="str">
        <f aca="false">IF(C237="","",E237*F237)</f>
        <v/>
      </c>
      <c r="H237" s="55" t="n">
        <f aca="false">IFERROR(VLOOKUP(C237,المخزن!$B$2:$H$201,7,FALSE()),0)</f>
        <v>0</v>
      </c>
      <c r="I237" s="27" t="str">
        <f aca="false">IF(C237="","",E237*H237)</f>
        <v/>
      </c>
    </row>
    <row r="238" customFormat="false" ht="15" hidden="false" customHeight="true" outlineLevel="0" collapsed="false">
      <c r="A238" s="21" t="str">
        <f aca="false">IF(C238="","",ROW()-1)</f>
        <v/>
      </c>
      <c r="B238" s="53"/>
      <c r="C238" s="22"/>
      <c r="D238" s="54" t="str">
        <f aca="false">IFERROR(VLOOKUP(C238,المخزن!$B$2:$H$201,2,FALSE()),"")</f>
        <v/>
      </c>
      <c r="E238" s="24"/>
      <c r="F238" s="26"/>
      <c r="G238" s="27" t="str">
        <f aca="false">IF(C238="","",E238*F238)</f>
        <v/>
      </c>
      <c r="H238" s="55" t="n">
        <f aca="false">IFERROR(VLOOKUP(C238,المخزن!$B$2:$H$201,7,FALSE()),0)</f>
        <v>0</v>
      </c>
      <c r="I238" s="27" t="str">
        <f aca="false">IF(C238="","",E238*H238)</f>
        <v/>
      </c>
    </row>
    <row r="239" customFormat="false" ht="15" hidden="false" customHeight="true" outlineLevel="0" collapsed="false">
      <c r="A239" s="21" t="str">
        <f aca="false">IF(C239="","",ROW()-1)</f>
        <v/>
      </c>
      <c r="B239" s="53"/>
      <c r="C239" s="22"/>
      <c r="D239" s="54" t="str">
        <f aca="false">IFERROR(VLOOKUP(C239,المخزن!$B$2:$H$201,2,FALSE()),"")</f>
        <v/>
      </c>
      <c r="E239" s="24"/>
      <c r="F239" s="26"/>
      <c r="G239" s="27" t="str">
        <f aca="false">IF(C239="","",E239*F239)</f>
        <v/>
      </c>
      <c r="H239" s="55" t="n">
        <f aca="false">IFERROR(VLOOKUP(C239,المخزن!$B$2:$H$201,7,FALSE()),0)</f>
        <v>0</v>
      </c>
      <c r="I239" s="27" t="str">
        <f aca="false">IF(C239="","",E239*H239)</f>
        <v/>
      </c>
    </row>
    <row r="240" customFormat="false" ht="15" hidden="false" customHeight="true" outlineLevel="0" collapsed="false">
      <c r="A240" s="21" t="str">
        <f aca="false">IF(C240="","",ROW()-1)</f>
        <v/>
      </c>
      <c r="B240" s="53"/>
      <c r="C240" s="22"/>
      <c r="D240" s="54" t="str">
        <f aca="false">IFERROR(VLOOKUP(C240,المخزن!$B$2:$H$201,2,FALSE()),"")</f>
        <v/>
      </c>
      <c r="E240" s="24"/>
      <c r="F240" s="26"/>
      <c r="G240" s="27" t="str">
        <f aca="false">IF(C240="","",E240*F240)</f>
        <v/>
      </c>
      <c r="H240" s="55" t="n">
        <f aca="false">IFERROR(VLOOKUP(C240,المخزن!$B$2:$H$201,7,FALSE()),0)</f>
        <v>0</v>
      </c>
      <c r="I240" s="27" t="str">
        <f aca="false">IF(C240="","",E240*H240)</f>
        <v/>
      </c>
    </row>
    <row r="241" customFormat="false" ht="15" hidden="false" customHeight="true" outlineLevel="0" collapsed="false">
      <c r="A241" s="21" t="str">
        <f aca="false">IF(C241="","",ROW()-1)</f>
        <v/>
      </c>
      <c r="B241" s="53"/>
      <c r="C241" s="22"/>
      <c r="D241" s="54" t="str">
        <f aca="false">IFERROR(VLOOKUP(C241,المخزن!$B$2:$H$201,2,FALSE()),"")</f>
        <v/>
      </c>
      <c r="E241" s="24"/>
      <c r="F241" s="26"/>
      <c r="G241" s="27" t="str">
        <f aca="false">IF(C241="","",E241*F241)</f>
        <v/>
      </c>
      <c r="H241" s="55" t="n">
        <f aca="false">IFERROR(VLOOKUP(C241,المخزن!$B$2:$H$201,7,FALSE()),0)</f>
        <v>0</v>
      </c>
      <c r="I241" s="27" t="str">
        <f aca="false">IF(C241="","",E241*H241)</f>
        <v/>
      </c>
    </row>
    <row r="242" customFormat="false" ht="15" hidden="false" customHeight="true" outlineLevel="0" collapsed="false">
      <c r="A242" s="21" t="str">
        <f aca="false">IF(C242="","",ROW()-1)</f>
        <v/>
      </c>
      <c r="B242" s="53"/>
      <c r="C242" s="22"/>
      <c r="D242" s="54" t="str">
        <f aca="false">IFERROR(VLOOKUP(C242,المخزن!$B$2:$H$201,2,FALSE()),"")</f>
        <v/>
      </c>
      <c r="E242" s="24"/>
      <c r="F242" s="26"/>
      <c r="G242" s="27" t="str">
        <f aca="false">IF(C242="","",E242*F242)</f>
        <v/>
      </c>
      <c r="H242" s="55" t="n">
        <f aca="false">IFERROR(VLOOKUP(C242,المخزن!$B$2:$H$201,7,FALSE()),0)</f>
        <v>0</v>
      </c>
      <c r="I242" s="27" t="str">
        <f aca="false">IF(C242="","",E242*H242)</f>
        <v/>
      </c>
    </row>
    <row r="243" customFormat="false" ht="15" hidden="false" customHeight="true" outlineLevel="0" collapsed="false">
      <c r="A243" s="21" t="str">
        <f aca="false">IF(C243="","",ROW()-1)</f>
        <v/>
      </c>
      <c r="B243" s="53"/>
      <c r="C243" s="22"/>
      <c r="D243" s="54" t="str">
        <f aca="false">IFERROR(VLOOKUP(C243,المخزن!$B$2:$H$201,2,FALSE()),"")</f>
        <v/>
      </c>
      <c r="E243" s="24"/>
      <c r="F243" s="26"/>
      <c r="G243" s="27" t="str">
        <f aca="false">IF(C243="","",E243*F243)</f>
        <v/>
      </c>
      <c r="H243" s="55" t="n">
        <f aca="false">IFERROR(VLOOKUP(C243,المخزن!$B$2:$H$201,7,FALSE()),0)</f>
        <v>0</v>
      </c>
      <c r="I243" s="27" t="str">
        <f aca="false">IF(C243="","",E243*H243)</f>
        <v/>
      </c>
    </row>
    <row r="244" customFormat="false" ht="15" hidden="false" customHeight="true" outlineLevel="0" collapsed="false">
      <c r="A244" s="21" t="str">
        <f aca="false">IF(C244="","",ROW()-1)</f>
        <v/>
      </c>
      <c r="B244" s="53"/>
      <c r="C244" s="22"/>
      <c r="D244" s="54" t="str">
        <f aca="false">IFERROR(VLOOKUP(C244,المخزن!$B$2:$H$201,2,FALSE()),"")</f>
        <v/>
      </c>
      <c r="E244" s="24"/>
      <c r="F244" s="26"/>
      <c r="G244" s="27" t="str">
        <f aca="false">IF(C244="","",E244*F244)</f>
        <v/>
      </c>
      <c r="H244" s="55" t="n">
        <f aca="false">IFERROR(VLOOKUP(C244,المخزن!$B$2:$H$201,7,FALSE()),0)</f>
        <v>0</v>
      </c>
      <c r="I244" s="27" t="str">
        <f aca="false">IF(C244="","",E244*H244)</f>
        <v/>
      </c>
    </row>
    <row r="245" customFormat="false" ht="15" hidden="false" customHeight="true" outlineLevel="0" collapsed="false">
      <c r="A245" s="21" t="str">
        <f aca="false">IF(C245="","",ROW()-1)</f>
        <v/>
      </c>
      <c r="B245" s="53"/>
      <c r="C245" s="22"/>
      <c r="D245" s="54" t="str">
        <f aca="false">IFERROR(VLOOKUP(C245,المخزن!$B$2:$H$201,2,FALSE()),"")</f>
        <v/>
      </c>
      <c r="E245" s="24"/>
      <c r="F245" s="26"/>
      <c r="G245" s="27" t="str">
        <f aca="false">IF(C245="","",E245*F245)</f>
        <v/>
      </c>
      <c r="H245" s="55" t="n">
        <f aca="false">IFERROR(VLOOKUP(C245,المخزن!$B$2:$H$201,7,FALSE()),0)</f>
        <v>0</v>
      </c>
      <c r="I245" s="27" t="str">
        <f aca="false">IF(C245="","",E245*H245)</f>
        <v/>
      </c>
    </row>
    <row r="246" customFormat="false" ht="15" hidden="false" customHeight="true" outlineLevel="0" collapsed="false">
      <c r="A246" s="21" t="str">
        <f aca="false">IF(C246="","",ROW()-1)</f>
        <v/>
      </c>
      <c r="B246" s="53"/>
      <c r="C246" s="22"/>
      <c r="D246" s="54" t="str">
        <f aca="false">IFERROR(VLOOKUP(C246,المخزن!$B$2:$H$201,2,FALSE()),"")</f>
        <v/>
      </c>
      <c r="E246" s="24"/>
      <c r="F246" s="26"/>
      <c r="G246" s="27" t="str">
        <f aca="false">IF(C246="","",E246*F246)</f>
        <v/>
      </c>
      <c r="H246" s="55" t="n">
        <f aca="false">IFERROR(VLOOKUP(C246,المخزن!$B$2:$H$201,7,FALSE()),0)</f>
        <v>0</v>
      </c>
      <c r="I246" s="27" t="str">
        <f aca="false">IF(C246="","",E246*H246)</f>
        <v/>
      </c>
    </row>
    <row r="247" customFormat="false" ht="15" hidden="false" customHeight="true" outlineLevel="0" collapsed="false">
      <c r="A247" s="21" t="str">
        <f aca="false">IF(C247="","",ROW()-1)</f>
        <v/>
      </c>
      <c r="B247" s="53"/>
      <c r="C247" s="22"/>
      <c r="D247" s="54" t="str">
        <f aca="false">IFERROR(VLOOKUP(C247,المخزن!$B$2:$H$201,2,FALSE()),"")</f>
        <v/>
      </c>
      <c r="E247" s="24"/>
      <c r="F247" s="26"/>
      <c r="G247" s="27" t="str">
        <f aca="false">IF(C247="","",E247*F247)</f>
        <v/>
      </c>
      <c r="H247" s="55" t="n">
        <f aca="false">IFERROR(VLOOKUP(C247,المخزن!$B$2:$H$201,7,FALSE()),0)</f>
        <v>0</v>
      </c>
      <c r="I247" s="27" t="str">
        <f aca="false">IF(C247="","",E247*H247)</f>
        <v/>
      </c>
    </row>
    <row r="248" customFormat="false" ht="15" hidden="false" customHeight="true" outlineLevel="0" collapsed="false">
      <c r="A248" s="21" t="str">
        <f aca="false">IF(C248="","",ROW()-1)</f>
        <v/>
      </c>
      <c r="B248" s="53"/>
      <c r="C248" s="22"/>
      <c r="D248" s="54" t="str">
        <f aca="false">IFERROR(VLOOKUP(C248,المخزن!$B$2:$H$201,2,FALSE()),"")</f>
        <v/>
      </c>
      <c r="E248" s="24"/>
      <c r="F248" s="26"/>
      <c r="G248" s="27" t="str">
        <f aca="false">IF(C248="","",E248*F248)</f>
        <v/>
      </c>
      <c r="H248" s="55" t="n">
        <f aca="false">IFERROR(VLOOKUP(C248,المخزن!$B$2:$H$201,7,FALSE()),0)</f>
        <v>0</v>
      </c>
      <c r="I248" s="27" t="str">
        <f aca="false">IF(C248="","",E248*H248)</f>
        <v/>
      </c>
    </row>
    <row r="249" customFormat="false" ht="15" hidden="false" customHeight="true" outlineLevel="0" collapsed="false">
      <c r="A249" s="21" t="str">
        <f aca="false">IF(C249="","",ROW()-1)</f>
        <v/>
      </c>
      <c r="B249" s="53"/>
      <c r="C249" s="22"/>
      <c r="D249" s="54" t="str">
        <f aca="false">IFERROR(VLOOKUP(C249,المخزن!$B$2:$H$201,2,FALSE()),"")</f>
        <v/>
      </c>
      <c r="E249" s="24"/>
      <c r="F249" s="26"/>
      <c r="G249" s="27" t="str">
        <f aca="false">IF(C249="","",E249*F249)</f>
        <v/>
      </c>
      <c r="H249" s="55" t="n">
        <f aca="false">IFERROR(VLOOKUP(C249,المخزن!$B$2:$H$201,7,FALSE()),0)</f>
        <v>0</v>
      </c>
      <c r="I249" s="27" t="str">
        <f aca="false">IF(C249="","",E249*H249)</f>
        <v/>
      </c>
    </row>
    <row r="250" customFormat="false" ht="15" hidden="false" customHeight="true" outlineLevel="0" collapsed="false">
      <c r="A250" s="21" t="str">
        <f aca="false">IF(C250="","",ROW()-1)</f>
        <v/>
      </c>
      <c r="B250" s="53"/>
      <c r="C250" s="22"/>
      <c r="D250" s="54" t="str">
        <f aca="false">IFERROR(VLOOKUP(C250,المخزن!$B$2:$H$201,2,FALSE()),"")</f>
        <v/>
      </c>
      <c r="E250" s="24"/>
      <c r="F250" s="26"/>
      <c r="G250" s="27" t="str">
        <f aca="false">IF(C250="","",E250*F250)</f>
        <v/>
      </c>
      <c r="H250" s="55" t="n">
        <f aca="false">IFERROR(VLOOKUP(C250,المخزن!$B$2:$H$201,7,FALSE()),0)</f>
        <v>0</v>
      </c>
      <c r="I250" s="27" t="str">
        <f aca="false">IF(C250="","",E250*H250)</f>
        <v/>
      </c>
    </row>
    <row r="251" customFormat="false" ht="15" hidden="false" customHeight="true" outlineLevel="0" collapsed="false">
      <c r="A251" s="21" t="str">
        <f aca="false">IF(C251="","",ROW()-1)</f>
        <v/>
      </c>
      <c r="B251" s="53"/>
      <c r="C251" s="22"/>
      <c r="D251" s="54" t="str">
        <f aca="false">IFERROR(VLOOKUP(C251,المخزن!$B$2:$H$201,2,FALSE()),"")</f>
        <v/>
      </c>
      <c r="E251" s="24"/>
      <c r="F251" s="26"/>
      <c r="G251" s="27" t="str">
        <f aca="false">IF(C251="","",E251*F251)</f>
        <v/>
      </c>
      <c r="H251" s="55" t="n">
        <f aca="false">IFERROR(VLOOKUP(C251,المخزن!$B$2:$H$201,7,FALSE()),0)</f>
        <v>0</v>
      </c>
      <c r="I251" s="27" t="str">
        <f aca="false">IF(C251="","",E251*H251)</f>
        <v/>
      </c>
    </row>
    <row r="252" customFormat="false" ht="15" hidden="false" customHeight="true" outlineLevel="0" collapsed="false">
      <c r="A252" s="21" t="str">
        <f aca="false">IF(C252="","",ROW()-1)</f>
        <v/>
      </c>
      <c r="B252" s="53"/>
      <c r="C252" s="22"/>
      <c r="D252" s="54" t="str">
        <f aca="false">IFERROR(VLOOKUP(C252,المخزن!$B$2:$H$201,2,FALSE()),"")</f>
        <v/>
      </c>
      <c r="E252" s="24"/>
      <c r="F252" s="26"/>
      <c r="G252" s="27" t="str">
        <f aca="false">IF(C252="","",E252*F252)</f>
        <v/>
      </c>
      <c r="H252" s="55" t="n">
        <f aca="false">IFERROR(VLOOKUP(C252,المخزن!$B$2:$H$201,7,FALSE()),0)</f>
        <v>0</v>
      </c>
      <c r="I252" s="27" t="str">
        <f aca="false">IF(C252="","",E252*H252)</f>
        <v/>
      </c>
    </row>
    <row r="253" customFormat="false" ht="15" hidden="false" customHeight="true" outlineLevel="0" collapsed="false">
      <c r="A253" s="21" t="str">
        <f aca="false">IF(C253="","",ROW()-1)</f>
        <v/>
      </c>
      <c r="B253" s="53"/>
      <c r="C253" s="22"/>
      <c r="D253" s="54" t="str">
        <f aca="false">IFERROR(VLOOKUP(C253,المخزن!$B$2:$H$201,2,FALSE()),"")</f>
        <v/>
      </c>
      <c r="E253" s="24"/>
      <c r="F253" s="26"/>
      <c r="G253" s="27" t="str">
        <f aca="false">IF(C253="","",E253*F253)</f>
        <v/>
      </c>
      <c r="H253" s="55" t="n">
        <f aca="false">IFERROR(VLOOKUP(C253,المخزن!$B$2:$H$201,7,FALSE()),0)</f>
        <v>0</v>
      </c>
      <c r="I253" s="27" t="str">
        <f aca="false">IF(C253="","",E253*H253)</f>
        <v/>
      </c>
    </row>
    <row r="254" customFormat="false" ht="15" hidden="false" customHeight="true" outlineLevel="0" collapsed="false">
      <c r="A254" s="21" t="str">
        <f aca="false">IF(C254="","",ROW()-1)</f>
        <v/>
      </c>
      <c r="B254" s="53"/>
      <c r="C254" s="22"/>
      <c r="D254" s="54" t="str">
        <f aca="false">IFERROR(VLOOKUP(C254,المخزن!$B$2:$H$201,2,FALSE()),"")</f>
        <v/>
      </c>
      <c r="E254" s="24"/>
      <c r="F254" s="26"/>
      <c r="G254" s="27" t="str">
        <f aca="false">IF(C254="","",E254*F254)</f>
        <v/>
      </c>
      <c r="H254" s="55" t="n">
        <f aca="false">IFERROR(VLOOKUP(C254,المخزن!$B$2:$H$201,7,FALSE()),0)</f>
        <v>0</v>
      </c>
      <c r="I254" s="27" t="str">
        <f aca="false">IF(C254="","",E254*H254)</f>
        <v/>
      </c>
    </row>
    <row r="255" customFormat="false" ht="15" hidden="false" customHeight="true" outlineLevel="0" collapsed="false">
      <c r="A255" s="21" t="str">
        <f aca="false">IF(C255="","",ROW()-1)</f>
        <v/>
      </c>
      <c r="B255" s="53"/>
      <c r="C255" s="22"/>
      <c r="D255" s="54" t="str">
        <f aca="false">IFERROR(VLOOKUP(C255,المخزن!$B$2:$H$201,2,FALSE()),"")</f>
        <v/>
      </c>
      <c r="E255" s="24"/>
      <c r="F255" s="26"/>
      <c r="G255" s="27" t="str">
        <f aca="false">IF(C255="","",E255*F255)</f>
        <v/>
      </c>
      <c r="H255" s="55" t="n">
        <f aca="false">IFERROR(VLOOKUP(C255,المخزن!$B$2:$H$201,7,FALSE()),0)</f>
        <v>0</v>
      </c>
      <c r="I255" s="27" t="str">
        <f aca="false">IF(C255="","",E255*H255)</f>
        <v/>
      </c>
    </row>
    <row r="256" customFormat="false" ht="15" hidden="false" customHeight="true" outlineLevel="0" collapsed="false">
      <c r="A256" s="21" t="str">
        <f aca="false">IF(C256="","",ROW()-1)</f>
        <v/>
      </c>
      <c r="B256" s="53"/>
      <c r="C256" s="22"/>
      <c r="D256" s="54" t="str">
        <f aca="false">IFERROR(VLOOKUP(C256,المخزن!$B$2:$H$201,2,FALSE()),"")</f>
        <v/>
      </c>
      <c r="E256" s="24"/>
      <c r="F256" s="26"/>
      <c r="G256" s="27" t="str">
        <f aca="false">IF(C256="","",E256*F256)</f>
        <v/>
      </c>
      <c r="H256" s="55" t="n">
        <f aca="false">IFERROR(VLOOKUP(C256,المخزن!$B$2:$H$201,7,FALSE()),0)</f>
        <v>0</v>
      </c>
      <c r="I256" s="27" t="str">
        <f aca="false">IF(C256="","",E256*H256)</f>
        <v/>
      </c>
    </row>
    <row r="257" customFormat="false" ht="15" hidden="false" customHeight="true" outlineLevel="0" collapsed="false">
      <c r="A257" s="21" t="str">
        <f aca="false">IF(C257="","",ROW()-1)</f>
        <v/>
      </c>
      <c r="B257" s="53"/>
      <c r="C257" s="22"/>
      <c r="D257" s="54" t="str">
        <f aca="false">IFERROR(VLOOKUP(C257,المخزن!$B$2:$H$201,2,FALSE()),"")</f>
        <v/>
      </c>
      <c r="E257" s="24"/>
      <c r="F257" s="26"/>
      <c r="G257" s="27" t="str">
        <f aca="false">IF(C257="","",E257*F257)</f>
        <v/>
      </c>
      <c r="H257" s="55" t="n">
        <f aca="false">IFERROR(VLOOKUP(C257,المخزن!$B$2:$H$201,7,FALSE()),0)</f>
        <v>0</v>
      </c>
      <c r="I257" s="27" t="str">
        <f aca="false">IF(C257="","",E257*H257)</f>
        <v/>
      </c>
    </row>
    <row r="258" customFormat="false" ht="15" hidden="false" customHeight="true" outlineLevel="0" collapsed="false">
      <c r="A258" s="21" t="str">
        <f aca="false">IF(C258="","",ROW()-1)</f>
        <v/>
      </c>
      <c r="B258" s="53"/>
      <c r="C258" s="22"/>
      <c r="D258" s="54" t="str">
        <f aca="false">IFERROR(VLOOKUP(C258,المخزن!$B$2:$H$201,2,FALSE()),"")</f>
        <v/>
      </c>
      <c r="E258" s="24"/>
      <c r="F258" s="26"/>
      <c r="G258" s="27" t="str">
        <f aca="false">IF(C258="","",E258*F258)</f>
        <v/>
      </c>
      <c r="H258" s="55" t="n">
        <f aca="false">IFERROR(VLOOKUP(C258,المخزن!$B$2:$H$201,7,FALSE()),0)</f>
        <v>0</v>
      </c>
      <c r="I258" s="27" t="str">
        <f aca="false">IF(C258="","",E258*H258)</f>
        <v/>
      </c>
    </row>
    <row r="259" customFormat="false" ht="15" hidden="false" customHeight="true" outlineLevel="0" collapsed="false">
      <c r="A259" s="21" t="str">
        <f aca="false">IF(C259="","",ROW()-1)</f>
        <v/>
      </c>
      <c r="B259" s="53"/>
      <c r="C259" s="22"/>
      <c r="D259" s="54" t="str">
        <f aca="false">IFERROR(VLOOKUP(C259,المخزن!$B$2:$H$201,2,FALSE()),"")</f>
        <v/>
      </c>
      <c r="E259" s="24"/>
      <c r="F259" s="26"/>
      <c r="G259" s="27" t="str">
        <f aca="false">IF(C259="","",E259*F259)</f>
        <v/>
      </c>
      <c r="H259" s="55" t="n">
        <f aca="false">IFERROR(VLOOKUP(C259,المخزن!$B$2:$H$201,7,FALSE()),0)</f>
        <v>0</v>
      </c>
      <c r="I259" s="27" t="str">
        <f aca="false">IF(C259="","",E259*H259)</f>
        <v/>
      </c>
    </row>
    <row r="260" customFormat="false" ht="15" hidden="false" customHeight="true" outlineLevel="0" collapsed="false">
      <c r="A260" s="21" t="str">
        <f aca="false">IF(C260="","",ROW()-1)</f>
        <v/>
      </c>
      <c r="B260" s="53"/>
      <c r="C260" s="22"/>
      <c r="D260" s="54" t="str">
        <f aca="false">IFERROR(VLOOKUP(C260,المخزن!$B$2:$H$201,2,FALSE()),"")</f>
        <v/>
      </c>
      <c r="E260" s="24"/>
      <c r="F260" s="26"/>
      <c r="G260" s="27" t="str">
        <f aca="false">IF(C260="","",E260*F260)</f>
        <v/>
      </c>
      <c r="H260" s="55" t="n">
        <f aca="false">IFERROR(VLOOKUP(C260,المخزن!$B$2:$H$201,7,FALSE()),0)</f>
        <v>0</v>
      </c>
      <c r="I260" s="27" t="str">
        <f aca="false">IF(C260="","",E260*H260)</f>
        <v/>
      </c>
    </row>
    <row r="261" customFormat="false" ht="15" hidden="false" customHeight="true" outlineLevel="0" collapsed="false">
      <c r="A261" s="21" t="str">
        <f aca="false">IF(C261="","",ROW()-1)</f>
        <v/>
      </c>
      <c r="B261" s="53"/>
      <c r="C261" s="22"/>
      <c r="D261" s="54" t="str">
        <f aca="false">IFERROR(VLOOKUP(C261,المخزن!$B$2:$H$201,2,FALSE()),"")</f>
        <v/>
      </c>
      <c r="E261" s="24"/>
      <c r="F261" s="26"/>
      <c r="G261" s="27" t="str">
        <f aca="false">IF(C261="","",E261*F261)</f>
        <v/>
      </c>
      <c r="H261" s="55" t="n">
        <f aca="false">IFERROR(VLOOKUP(C261,المخزن!$B$2:$H$201,7,FALSE()),0)</f>
        <v>0</v>
      </c>
      <c r="I261" s="27" t="str">
        <f aca="false">IF(C261="","",E261*H261)</f>
        <v/>
      </c>
    </row>
    <row r="262" customFormat="false" ht="15" hidden="false" customHeight="true" outlineLevel="0" collapsed="false">
      <c r="A262" s="21" t="str">
        <f aca="false">IF(C262="","",ROW()-1)</f>
        <v/>
      </c>
      <c r="B262" s="53"/>
      <c r="C262" s="22"/>
      <c r="D262" s="54" t="str">
        <f aca="false">IFERROR(VLOOKUP(C262,المخزن!$B$2:$H$201,2,FALSE()),"")</f>
        <v/>
      </c>
      <c r="E262" s="24"/>
      <c r="F262" s="26"/>
      <c r="G262" s="27" t="str">
        <f aca="false">IF(C262="","",E262*F262)</f>
        <v/>
      </c>
      <c r="H262" s="55" t="n">
        <f aca="false">IFERROR(VLOOKUP(C262,المخزن!$B$2:$H$201,7,FALSE()),0)</f>
        <v>0</v>
      </c>
      <c r="I262" s="27" t="str">
        <f aca="false">IF(C262="","",E262*H262)</f>
        <v/>
      </c>
    </row>
    <row r="263" customFormat="false" ht="15" hidden="false" customHeight="true" outlineLevel="0" collapsed="false">
      <c r="A263" s="21" t="str">
        <f aca="false">IF(C263="","",ROW()-1)</f>
        <v/>
      </c>
      <c r="B263" s="53"/>
      <c r="C263" s="22"/>
      <c r="D263" s="54" t="str">
        <f aca="false">IFERROR(VLOOKUP(C263,المخزن!$B$2:$H$201,2,FALSE()),"")</f>
        <v/>
      </c>
      <c r="E263" s="24"/>
      <c r="F263" s="26"/>
      <c r="G263" s="27" t="str">
        <f aca="false">IF(C263="","",E263*F263)</f>
        <v/>
      </c>
      <c r="H263" s="55" t="n">
        <f aca="false">IFERROR(VLOOKUP(C263,المخزن!$B$2:$H$201,7,FALSE()),0)</f>
        <v>0</v>
      </c>
      <c r="I263" s="27" t="str">
        <f aca="false">IF(C263="","",E263*H263)</f>
        <v/>
      </c>
    </row>
    <row r="264" customFormat="false" ht="15" hidden="false" customHeight="true" outlineLevel="0" collapsed="false">
      <c r="A264" s="21" t="str">
        <f aca="false">IF(C264="","",ROW()-1)</f>
        <v/>
      </c>
      <c r="B264" s="53"/>
      <c r="C264" s="22"/>
      <c r="D264" s="54" t="str">
        <f aca="false">IFERROR(VLOOKUP(C264,المخزن!$B$2:$H$201,2,FALSE()),"")</f>
        <v/>
      </c>
      <c r="E264" s="24"/>
      <c r="F264" s="26"/>
      <c r="G264" s="27" t="str">
        <f aca="false">IF(C264="","",E264*F264)</f>
        <v/>
      </c>
      <c r="H264" s="55" t="n">
        <f aca="false">IFERROR(VLOOKUP(C264,المخزن!$B$2:$H$201,7,FALSE()),0)</f>
        <v>0</v>
      </c>
      <c r="I264" s="27" t="str">
        <f aca="false">IF(C264="","",E264*H264)</f>
        <v/>
      </c>
    </row>
    <row r="265" customFormat="false" ht="15" hidden="false" customHeight="true" outlineLevel="0" collapsed="false">
      <c r="A265" s="21" t="str">
        <f aca="false">IF(C265="","",ROW()-1)</f>
        <v/>
      </c>
      <c r="B265" s="53"/>
      <c r="C265" s="22"/>
      <c r="D265" s="54" t="str">
        <f aca="false">IFERROR(VLOOKUP(C265,المخزن!$B$2:$H$201,2,FALSE()),"")</f>
        <v/>
      </c>
      <c r="E265" s="24"/>
      <c r="F265" s="26"/>
      <c r="G265" s="27" t="str">
        <f aca="false">IF(C265="","",E265*F265)</f>
        <v/>
      </c>
      <c r="H265" s="55" t="n">
        <f aca="false">IFERROR(VLOOKUP(C265,المخزن!$B$2:$H$201,7,FALSE()),0)</f>
        <v>0</v>
      </c>
      <c r="I265" s="27" t="str">
        <f aca="false">IF(C265="","",E265*H265)</f>
        <v/>
      </c>
    </row>
    <row r="266" customFormat="false" ht="15" hidden="false" customHeight="true" outlineLevel="0" collapsed="false">
      <c r="A266" s="21" t="str">
        <f aca="false">IF(C266="","",ROW()-1)</f>
        <v/>
      </c>
      <c r="B266" s="53"/>
      <c r="C266" s="22"/>
      <c r="D266" s="54" t="str">
        <f aca="false">IFERROR(VLOOKUP(C266,المخزن!$B$2:$H$201,2,FALSE()),"")</f>
        <v/>
      </c>
      <c r="E266" s="24"/>
      <c r="F266" s="26"/>
      <c r="G266" s="27" t="str">
        <f aca="false">IF(C266="","",E266*F266)</f>
        <v/>
      </c>
      <c r="H266" s="55" t="n">
        <f aca="false">IFERROR(VLOOKUP(C266,المخزن!$B$2:$H$201,7,FALSE()),0)</f>
        <v>0</v>
      </c>
      <c r="I266" s="27" t="str">
        <f aca="false">IF(C266="","",E266*H266)</f>
        <v/>
      </c>
    </row>
    <row r="267" customFormat="false" ht="15" hidden="false" customHeight="true" outlineLevel="0" collapsed="false">
      <c r="A267" s="21" t="str">
        <f aca="false">IF(C267="","",ROW()-1)</f>
        <v/>
      </c>
      <c r="B267" s="53"/>
      <c r="C267" s="22"/>
      <c r="D267" s="54" t="str">
        <f aca="false">IFERROR(VLOOKUP(C267,المخزن!$B$2:$H$201,2,FALSE()),"")</f>
        <v/>
      </c>
      <c r="E267" s="24"/>
      <c r="F267" s="26"/>
      <c r="G267" s="27" t="str">
        <f aca="false">IF(C267="","",E267*F267)</f>
        <v/>
      </c>
      <c r="H267" s="55" t="n">
        <f aca="false">IFERROR(VLOOKUP(C267,المخزن!$B$2:$H$201,7,FALSE()),0)</f>
        <v>0</v>
      </c>
      <c r="I267" s="27" t="str">
        <f aca="false">IF(C267="","",E267*H267)</f>
        <v/>
      </c>
    </row>
    <row r="268" customFormat="false" ht="15" hidden="false" customHeight="true" outlineLevel="0" collapsed="false">
      <c r="A268" s="21" t="str">
        <f aca="false">IF(C268="","",ROW()-1)</f>
        <v/>
      </c>
      <c r="B268" s="53"/>
      <c r="C268" s="22"/>
      <c r="D268" s="54" t="str">
        <f aca="false">IFERROR(VLOOKUP(C268,المخزن!$B$2:$H$201,2,FALSE()),"")</f>
        <v/>
      </c>
      <c r="E268" s="24"/>
      <c r="F268" s="26"/>
      <c r="G268" s="27" t="str">
        <f aca="false">IF(C268="","",E268*F268)</f>
        <v/>
      </c>
      <c r="H268" s="55" t="n">
        <f aca="false">IFERROR(VLOOKUP(C268,المخزن!$B$2:$H$201,7,FALSE()),0)</f>
        <v>0</v>
      </c>
      <c r="I268" s="27" t="str">
        <f aca="false">IF(C268="","",E268*H268)</f>
        <v/>
      </c>
    </row>
    <row r="269" customFormat="false" ht="15" hidden="false" customHeight="true" outlineLevel="0" collapsed="false">
      <c r="A269" s="21" t="str">
        <f aca="false">IF(C269="","",ROW()-1)</f>
        <v/>
      </c>
      <c r="B269" s="53"/>
      <c r="C269" s="22"/>
      <c r="D269" s="54" t="str">
        <f aca="false">IFERROR(VLOOKUP(C269,المخزن!$B$2:$H$201,2,FALSE()),"")</f>
        <v/>
      </c>
      <c r="E269" s="24"/>
      <c r="F269" s="26"/>
      <c r="G269" s="27" t="str">
        <f aca="false">IF(C269="","",E269*F269)</f>
        <v/>
      </c>
      <c r="H269" s="55" t="n">
        <f aca="false">IFERROR(VLOOKUP(C269,المخزن!$B$2:$H$201,7,FALSE()),0)</f>
        <v>0</v>
      </c>
      <c r="I269" s="27" t="str">
        <f aca="false">IF(C269="","",E269*H269)</f>
        <v/>
      </c>
    </row>
    <row r="270" customFormat="false" ht="15" hidden="false" customHeight="true" outlineLevel="0" collapsed="false">
      <c r="A270" s="21" t="str">
        <f aca="false">IF(C270="","",ROW()-1)</f>
        <v/>
      </c>
      <c r="B270" s="53"/>
      <c r="C270" s="22"/>
      <c r="D270" s="54" t="str">
        <f aca="false">IFERROR(VLOOKUP(C270,المخزن!$B$2:$H$201,2,FALSE()),"")</f>
        <v/>
      </c>
      <c r="E270" s="24"/>
      <c r="F270" s="26"/>
      <c r="G270" s="27" t="str">
        <f aca="false">IF(C270="","",E270*F270)</f>
        <v/>
      </c>
      <c r="H270" s="55" t="n">
        <f aca="false">IFERROR(VLOOKUP(C270,المخزن!$B$2:$H$201,7,FALSE()),0)</f>
        <v>0</v>
      </c>
      <c r="I270" s="27" t="str">
        <f aca="false">IF(C270="","",E270*H270)</f>
        <v/>
      </c>
    </row>
    <row r="271" customFormat="false" ht="15" hidden="false" customHeight="true" outlineLevel="0" collapsed="false">
      <c r="A271" s="21" t="str">
        <f aca="false">IF(C271="","",ROW()-1)</f>
        <v/>
      </c>
      <c r="B271" s="53"/>
      <c r="C271" s="22"/>
      <c r="D271" s="54" t="str">
        <f aca="false">IFERROR(VLOOKUP(C271,المخزن!$B$2:$H$201,2,FALSE()),"")</f>
        <v/>
      </c>
      <c r="E271" s="24"/>
      <c r="F271" s="26"/>
      <c r="G271" s="27" t="str">
        <f aca="false">IF(C271="","",E271*F271)</f>
        <v/>
      </c>
      <c r="H271" s="55" t="n">
        <f aca="false">IFERROR(VLOOKUP(C271,المخزن!$B$2:$H$201,7,FALSE()),0)</f>
        <v>0</v>
      </c>
      <c r="I271" s="27" t="str">
        <f aca="false">IF(C271="","",E271*H271)</f>
        <v/>
      </c>
    </row>
    <row r="272" customFormat="false" ht="15" hidden="false" customHeight="true" outlineLevel="0" collapsed="false">
      <c r="A272" s="21" t="str">
        <f aca="false">IF(C272="","",ROW()-1)</f>
        <v/>
      </c>
      <c r="B272" s="53"/>
      <c r="C272" s="22"/>
      <c r="D272" s="54" t="str">
        <f aca="false">IFERROR(VLOOKUP(C272,المخزن!$B$2:$H$201,2,FALSE()),"")</f>
        <v/>
      </c>
      <c r="E272" s="24"/>
      <c r="F272" s="26"/>
      <c r="G272" s="27" t="str">
        <f aca="false">IF(C272="","",E272*F272)</f>
        <v/>
      </c>
      <c r="H272" s="55" t="n">
        <f aca="false">IFERROR(VLOOKUP(C272,المخزن!$B$2:$H$201,7,FALSE()),0)</f>
        <v>0</v>
      </c>
      <c r="I272" s="27" t="str">
        <f aca="false">IF(C272="","",E272*H272)</f>
        <v/>
      </c>
    </row>
    <row r="273" customFormat="false" ht="15" hidden="false" customHeight="true" outlineLevel="0" collapsed="false">
      <c r="A273" s="21" t="str">
        <f aca="false">IF(C273="","",ROW()-1)</f>
        <v/>
      </c>
      <c r="B273" s="53"/>
      <c r="C273" s="22"/>
      <c r="D273" s="54" t="str">
        <f aca="false">IFERROR(VLOOKUP(C273,المخزن!$B$2:$H$201,2,FALSE()),"")</f>
        <v/>
      </c>
      <c r="E273" s="24"/>
      <c r="F273" s="26"/>
      <c r="G273" s="27" t="str">
        <f aca="false">IF(C273="","",E273*F273)</f>
        <v/>
      </c>
      <c r="H273" s="55" t="n">
        <f aca="false">IFERROR(VLOOKUP(C273,المخزن!$B$2:$H$201,7,FALSE()),0)</f>
        <v>0</v>
      </c>
      <c r="I273" s="27" t="str">
        <f aca="false">IF(C273="","",E273*H273)</f>
        <v/>
      </c>
    </row>
    <row r="274" customFormat="false" ht="15" hidden="false" customHeight="true" outlineLevel="0" collapsed="false">
      <c r="A274" s="21" t="str">
        <f aca="false">IF(C274="","",ROW()-1)</f>
        <v/>
      </c>
      <c r="B274" s="53"/>
      <c r="C274" s="22"/>
      <c r="D274" s="54" t="str">
        <f aca="false">IFERROR(VLOOKUP(C274,المخزن!$B$2:$H$201,2,FALSE()),"")</f>
        <v/>
      </c>
      <c r="E274" s="24"/>
      <c r="F274" s="26"/>
      <c r="G274" s="27" t="str">
        <f aca="false">IF(C274="","",E274*F274)</f>
        <v/>
      </c>
      <c r="H274" s="55" t="n">
        <f aca="false">IFERROR(VLOOKUP(C274,المخزن!$B$2:$H$201,7,FALSE()),0)</f>
        <v>0</v>
      </c>
      <c r="I274" s="27" t="str">
        <f aca="false">IF(C274="","",E274*H274)</f>
        <v/>
      </c>
    </row>
    <row r="275" customFormat="false" ht="15" hidden="false" customHeight="true" outlineLevel="0" collapsed="false">
      <c r="A275" s="21" t="str">
        <f aca="false">IF(C275="","",ROW()-1)</f>
        <v/>
      </c>
      <c r="B275" s="53"/>
      <c r="C275" s="22"/>
      <c r="D275" s="54" t="str">
        <f aca="false">IFERROR(VLOOKUP(C275,المخزن!$B$2:$H$201,2,FALSE()),"")</f>
        <v/>
      </c>
      <c r="E275" s="24"/>
      <c r="F275" s="26"/>
      <c r="G275" s="27" t="str">
        <f aca="false">IF(C275="","",E275*F275)</f>
        <v/>
      </c>
      <c r="H275" s="55" t="n">
        <f aca="false">IFERROR(VLOOKUP(C275,المخزن!$B$2:$H$201,7,FALSE()),0)</f>
        <v>0</v>
      </c>
      <c r="I275" s="27" t="str">
        <f aca="false">IF(C275="","",E275*H275)</f>
        <v/>
      </c>
    </row>
    <row r="276" customFormat="false" ht="15" hidden="false" customHeight="true" outlineLevel="0" collapsed="false">
      <c r="A276" s="21" t="str">
        <f aca="false">IF(C276="","",ROW()-1)</f>
        <v/>
      </c>
      <c r="B276" s="53"/>
      <c r="C276" s="22"/>
      <c r="D276" s="54" t="str">
        <f aca="false">IFERROR(VLOOKUP(C276,المخزن!$B$2:$H$201,2,FALSE()),"")</f>
        <v/>
      </c>
      <c r="E276" s="24"/>
      <c r="F276" s="26"/>
      <c r="G276" s="27" t="str">
        <f aca="false">IF(C276="","",E276*F276)</f>
        <v/>
      </c>
      <c r="H276" s="55" t="n">
        <f aca="false">IFERROR(VLOOKUP(C276,المخزن!$B$2:$H$201,7,FALSE()),0)</f>
        <v>0</v>
      </c>
      <c r="I276" s="27" t="str">
        <f aca="false">IF(C276="","",E276*H276)</f>
        <v/>
      </c>
    </row>
    <row r="277" customFormat="false" ht="15" hidden="false" customHeight="true" outlineLevel="0" collapsed="false">
      <c r="A277" s="21" t="str">
        <f aca="false">IF(C277="","",ROW()-1)</f>
        <v/>
      </c>
      <c r="B277" s="53"/>
      <c r="C277" s="22"/>
      <c r="D277" s="54" t="str">
        <f aca="false">IFERROR(VLOOKUP(C277,المخزن!$B$2:$H$201,2,FALSE()),"")</f>
        <v/>
      </c>
      <c r="E277" s="24"/>
      <c r="F277" s="26"/>
      <c r="G277" s="27" t="str">
        <f aca="false">IF(C277="","",E277*F277)</f>
        <v/>
      </c>
      <c r="H277" s="55" t="n">
        <f aca="false">IFERROR(VLOOKUP(C277,المخزن!$B$2:$H$201,7,FALSE()),0)</f>
        <v>0</v>
      </c>
      <c r="I277" s="27" t="str">
        <f aca="false">IF(C277="","",E277*H277)</f>
        <v/>
      </c>
    </row>
    <row r="278" customFormat="false" ht="15" hidden="false" customHeight="true" outlineLevel="0" collapsed="false">
      <c r="A278" s="21" t="str">
        <f aca="false">IF(C278="","",ROW()-1)</f>
        <v/>
      </c>
      <c r="B278" s="53"/>
      <c r="C278" s="22"/>
      <c r="D278" s="54" t="str">
        <f aca="false">IFERROR(VLOOKUP(C278,المخزن!$B$2:$H$201,2,FALSE()),"")</f>
        <v/>
      </c>
      <c r="E278" s="24"/>
      <c r="F278" s="26"/>
      <c r="G278" s="27" t="str">
        <f aca="false">IF(C278="","",E278*F278)</f>
        <v/>
      </c>
      <c r="H278" s="55" t="n">
        <f aca="false">IFERROR(VLOOKUP(C278,المخزن!$B$2:$H$201,7,FALSE()),0)</f>
        <v>0</v>
      </c>
      <c r="I278" s="27" t="str">
        <f aca="false">IF(C278="","",E278*H278)</f>
        <v/>
      </c>
    </row>
    <row r="279" customFormat="false" ht="15" hidden="false" customHeight="true" outlineLevel="0" collapsed="false">
      <c r="A279" s="21" t="str">
        <f aca="false">IF(C279="","",ROW()-1)</f>
        <v/>
      </c>
      <c r="B279" s="53"/>
      <c r="C279" s="22"/>
      <c r="D279" s="54" t="str">
        <f aca="false">IFERROR(VLOOKUP(C279,المخزن!$B$2:$H$201,2,FALSE()),"")</f>
        <v/>
      </c>
      <c r="E279" s="24"/>
      <c r="F279" s="26"/>
      <c r="G279" s="27" t="str">
        <f aca="false">IF(C279="","",E279*F279)</f>
        <v/>
      </c>
      <c r="H279" s="55" t="n">
        <f aca="false">IFERROR(VLOOKUP(C279,المخزن!$B$2:$H$201,7,FALSE()),0)</f>
        <v>0</v>
      </c>
      <c r="I279" s="27" t="str">
        <f aca="false">IF(C279="","",E279*H279)</f>
        <v/>
      </c>
    </row>
    <row r="280" customFormat="false" ht="15" hidden="false" customHeight="true" outlineLevel="0" collapsed="false">
      <c r="A280" s="21" t="str">
        <f aca="false">IF(C280="","",ROW()-1)</f>
        <v/>
      </c>
      <c r="B280" s="53"/>
      <c r="C280" s="22"/>
      <c r="D280" s="54" t="str">
        <f aca="false">IFERROR(VLOOKUP(C280,المخزن!$B$2:$H$201,2,FALSE()),"")</f>
        <v/>
      </c>
      <c r="E280" s="24"/>
      <c r="F280" s="26"/>
      <c r="G280" s="27" t="str">
        <f aca="false">IF(C280="","",E280*F280)</f>
        <v/>
      </c>
      <c r="H280" s="55" t="n">
        <f aca="false">IFERROR(VLOOKUP(C280,المخزن!$B$2:$H$201,7,FALSE()),0)</f>
        <v>0</v>
      </c>
      <c r="I280" s="27" t="str">
        <f aca="false">IF(C280="","",E280*H280)</f>
        <v/>
      </c>
    </row>
    <row r="281" customFormat="false" ht="15" hidden="false" customHeight="true" outlineLevel="0" collapsed="false">
      <c r="A281" s="21" t="str">
        <f aca="false">IF(C281="","",ROW()-1)</f>
        <v/>
      </c>
      <c r="B281" s="53"/>
      <c r="C281" s="22"/>
      <c r="D281" s="54" t="str">
        <f aca="false">IFERROR(VLOOKUP(C281,المخزن!$B$2:$H$201,2,FALSE()),"")</f>
        <v/>
      </c>
      <c r="E281" s="24"/>
      <c r="F281" s="26"/>
      <c r="G281" s="27" t="str">
        <f aca="false">IF(C281="","",E281*F281)</f>
        <v/>
      </c>
      <c r="H281" s="55" t="n">
        <f aca="false">IFERROR(VLOOKUP(C281,المخزن!$B$2:$H$201,7,FALSE()),0)</f>
        <v>0</v>
      </c>
      <c r="I281" s="27" t="str">
        <f aca="false">IF(C281="","",E281*H281)</f>
        <v/>
      </c>
    </row>
    <row r="282" customFormat="false" ht="15" hidden="false" customHeight="true" outlineLevel="0" collapsed="false">
      <c r="A282" s="21" t="str">
        <f aca="false">IF(C282="","",ROW()-1)</f>
        <v/>
      </c>
      <c r="B282" s="53"/>
      <c r="C282" s="22"/>
      <c r="D282" s="54" t="str">
        <f aca="false">IFERROR(VLOOKUP(C282,المخزن!$B$2:$H$201,2,FALSE()),"")</f>
        <v/>
      </c>
      <c r="E282" s="24"/>
      <c r="F282" s="26"/>
      <c r="G282" s="27" t="str">
        <f aca="false">IF(C282="","",E282*F282)</f>
        <v/>
      </c>
      <c r="H282" s="55" t="n">
        <f aca="false">IFERROR(VLOOKUP(C282,المخزن!$B$2:$H$201,7,FALSE()),0)</f>
        <v>0</v>
      </c>
      <c r="I282" s="27" t="str">
        <f aca="false">IF(C282="","",E282*H282)</f>
        <v/>
      </c>
    </row>
    <row r="283" customFormat="false" ht="15" hidden="false" customHeight="true" outlineLevel="0" collapsed="false">
      <c r="A283" s="21" t="str">
        <f aca="false">IF(C283="","",ROW()-1)</f>
        <v/>
      </c>
      <c r="B283" s="53"/>
      <c r="C283" s="22"/>
      <c r="D283" s="54" t="str">
        <f aca="false">IFERROR(VLOOKUP(C283,المخزن!$B$2:$H$201,2,FALSE()),"")</f>
        <v/>
      </c>
      <c r="E283" s="24"/>
      <c r="F283" s="26"/>
      <c r="G283" s="27" t="str">
        <f aca="false">IF(C283="","",E283*F283)</f>
        <v/>
      </c>
      <c r="H283" s="55" t="n">
        <f aca="false">IFERROR(VLOOKUP(C283,المخزن!$B$2:$H$201,7,FALSE()),0)</f>
        <v>0</v>
      </c>
      <c r="I283" s="27" t="str">
        <f aca="false">IF(C283="","",E283*H283)</f>
        <v/>
      </c>
    </row>
    <row r="284" customFormat="false" ht="15" hidden="false" customHeight="true" outlineLevel="0" collapsed="false">
      <c r="A284" s="21" t="str">
        <f aca="false">IF(C284="","",ROW()-1)</f>
        <v/>
      </c>
      <c r="B284" s="53"/>
      <c r="C284" s="22"/>
      <c r="D284" s="54" t="str">
        <f aca="false">IFERROR(VLOOKUP(C284,المخزن!$B$2:$H$201,2,FALSE()),"")</f>
        <v/>
      </c>
      <c r="E284" s="24"/>
      <c r="F284" s="26"/>
      <c r="G284" s="27" t="str">
        <f aca="false">IF(C284="","",E284*F284)</f>
        <v/>
      </c>
      <c r="H284" s="55" t="n">
        <f aca="false">IFERROR(VLOOKUP(C284,المخزن!$B$2:$H$201,7,FALSE()),0)</f>
        <v>0</v>
      </c>
      <c r="I284" s="27" t="str">
        <f aca="false">IF(C284="","",E284*H284)</f>
        <v/>
      </c>
    </row>
    <row r="285" customFormat="false" ht="15" hidden="false" customHeight="true" outlineLevel="0" collapsed="false">
      <c r="A285" s="21" t="str">
        <f aca="false">IF(C285="","",ROW()-1)</f>
        <v/>
      </c>
      <c r="B285" s="53"/>
      <c r="C285" s="22"/>
      <c r="D285" s="54" t="str">
        <f aca="false">IFERROR(VLOOKUP(C285,المخزن!$B$2:$H$201,2,FALSE()),"")</f>
        <v/>
      </c>
      <c r="E285" s="24"/>
      <c r="F285" s="26"/>
      <c r="G285" s="27" t="str">
        <f aca="false">IF(C285="","",E285*F285)</f>
        <v/>
      </c>
      <c r="H285" s="55" t="n">
        <f aca="false">IFERROR(VLOOKUP(C285,المخزن!$B$2:$H$201,7,FALSE()),0)</f>
        <v>0</v>
      </c>
      <c r="I285" s="27" t="str">
        <f aca="false">IF(C285="","",E285*H285)</f>
        <v/>
      </c>
    </row>
    <row r="286" customFormat="false" ht="15" hidden="false" customHeight="true" outlineLevel="0" collapsed="false">
      <c r="A286" s="21" t="str">
        <f aca="false">IF(C286="","",ROW()-1)</f>
        <v/>
      </c>
      <c r="B286" s="53"/>
      <c r="C286" s="22"/>
      <c r="D286" s="54" t="str">
        <f aca="false">IFERROR(VLOOKUP(C286,المخزن!$B$2:$H$201,2,FALSE()),"")</f>
        <v/>
      </c>
      <c r="E286" s="24"/>
      <c r="F286" s="26"/>
      <c r="G286" s="27" t="str">
        <f aca="false">IF(C286="","",E286*F286)</f>
        <v/>
      </c>
      <c r="H286" s="55" t="n">
        <f aca="false">IFERROR(VLOOKUP(C286,المخزن!$B$2:$H$201,7,FALSE()),0)</f>
        <v>0</v>
      </c>
      <c r="I286" s="27" t="str">
        <f aca="false">IF(C286="","",E286*H286)</f>
        <v/>
      </c>
    </row>
    <row r="287" customFormat="false" ht="15" hidden="false" customHeight="true" outlineLevel="0" collapsed="false">
      <c r="A287" s="21" t="str">
        <f aca="false">IF(C287="","",ROW()-1)</f>
        <v/>
      </c>
      <c r="B287" s="53"/>
      <c r="C287" s="22"/>
      <c r="D287" s="54" t="str">
        <f aca="false">IFERROR(VLOOKUP(C287,المخزن!$B$2:$H$201,2,FALSE()),"")</f>
        <v/>
      </c>
      <c r="E287" s="24"/>
      <c r="F287" s="26"/>
      <c r="G287" s="27" t="str">
        <f aca="false">IF(C287="","",E287*F287)</f>
        <v/>
      </c>
      <c r="H287" s="55" t="n">
        <f aca="false">IFERROR(VLOOKUP(C287,المخزن!$B$2:$H$201,7,FALSE()),0)</f>
        <v>0</v>
      </c>
      <c r="I287" s="27" t="str">
        <f aca="false">IF(C287="","",E287*H287)</f>
        <v/>
      </c>
    </row>
    <row r="288" customFormat="false" ht="15" hidden="false" customHeight="true" outlineLevel="0" collapsed="false">
      <c r="A288" s="21" t="str">
        <f aca="false">IF(C288="","",ROW()-1)</f>
        <v/>
      </c>
      <c r="B288" s="53"/>
      <c r="C288" s="22"/>
      <c r="D288" s="54" t="str">
        <f aca="false">IFERROR(VLOOKUP(C288,المخزن!$B$2:$H$201,2,FALSE()),"")</f>
        <v/>
      </c>
      <c r="E288" s="24"/>
      <c r="F288" s="26"/>
      <c r="G288" s="27" t="str">
        <f aca="false">IF(C288="","",E288*F288)</f>
        <v/>
      </c>
      <c r="H288" s="55" t="n">
        <f aca="false">IFERROR(VLOOKUP(C288,المخزن!$B$2:$H$201,7,FALSE()),0)</f>
        <v>0</v>
      </c>
      <c r="I288" s="27" t="str">
        <f aca="false">IF(C288="","",E288*H288)</f>
        <v/>
      </c>
    </row>
    <row r="289" customFormat="false" ht="15" hidden="false" customHeight="true" outlineLevel="0" collapsed="false">
      <c r="A289" s="21" t="str">
        <f aca="false">IF(C289="","",ROW()-1)</f>
        <v/>
      </c>
      <c r="B289" s="53"/>
      <c r="C289" s="22"/>
      <c r="D289" s="54" t="str">
        <f aca="false">IFERROR(VLOOKUP(C289,المخزن!$B$2:$H$201,2,FALSE()),"")</f>
        <v/>
      </c>
      <c r="E289" s="24"/>
      <c r="F289" s="26"/>
      <c r="G289" s="27" t="str">
        <f aca="false">IF(C289="","",E289*F289)</f>
        <v/>
      </c>
      <c r="H289" s="55" t="n">
        <f aca="false">IFERROR(VLOOKUP(C289,المخزن!$B$2:$H$201,7,FALSE()),0)</f>
        <v>0</v>
      </c>
      <c r="I289" s="27" t="str">
        <f aca="false">IF(C289="","",E289*H289)</f>
        <v/>
      </c>
    </row>
    <row r="290" customFormat="false" ht="15" hidden="false" customHeight="true" outlineLevel="0" collapsed="false">
      <c r="A290" s="21" t="str">
        <f aca="false">IF(C290="","",ROW()-1)</f>
        <v/>
      </c>
      <c r="B290" s="53"/>
      <c r="C290" s="22"/>
      <c r="D290" s="54" t="str">
        <f aca="false">IFERROR(VLOOKUP(C290,المخزن!$B$2:$H$201,2,FALSE()),"")</f>
        <v/>
      </c>
      <c r="E290" s="24"/>
      <c r="F290" s="26"/>
      <c r="G290" s="27" t="str">
        <f aca="false">IF(C290="","",E290*F290)</f>
        <v/>
      </c>
      <c r="H290" s="55" t="n">
        <f aca="false">IFERROR(VLOOKUP(C290,المخزن!$B$2:$H$201,7,FALSE()),0)</f>
        <v>0</v>
      </c>
      <c r="I290" s="27" t="str">
        <f aca="false">IF(C290="","",E290*H290)</f>
        <v/>
      </c>
    </row>
    <row r="291" customFormat="false" ht="15" hidden="false" customHeight="true" outlineLevel="0" collapsed="false">
      <c r="A291" s="21" t="str">
        <f aca="false">IF(C291="","",ROW()-1)</f>
        <v/>
      </c>
      <c r="B291" s="53"/>
      <c r="C291" s="22"/>
      <c r="D291" s="54" t="str">
        <f aca="false">IFERROR(VLOOKUP(C291,المخزن!$B$2:$H$201,2,FALSE()),"")</f>
        <v/>
      </c>
      <c r="E291" s="24"/>
      <c r="F291" s="26"/>
      <c r="G291" s="27" t="str">
        <f aca="false">IF(C291="","",E291*F291)</f>
        <v/>
      </c>
      <c r="H291" s="55" t="n">
        <f aca="false">IFERROR(VLOOKUP(C291,المخزن!$B$2:$H$201,7,FALSE()),0)</f>
        <v>0</v>
      </c>
      <c r="I291" s="27" t="str">
        <f aca="false">IF(C291="","",E291*H291)</f>
        <v/>
      </c>
    </row>
    <row r="292" customFormat="false" ht="15" hidden="false" customHeight="true" outlineLevel="0" collapsed="false">
      <c r="A292" s="21" t="str">
        <f aca="false">IF(C292="","",ROW()-1)</f>
        <v/>
      </c>
      <c r="B292" s="53"/>
      <c r="C292" s="22"/>
      <c r="D292" s="54" t="str">
        <f aca="false">IFERROR(VLOOKUP(C292,المخزن!$B$2:$H$201,2,FALSE()),"")</f>
        <v/>
      </c>
      <c r="E292" s="24"/>
      <c r="F292" s="26"/>
      <c r="G292" s="27" t="str">
        <f aca="false">IF(C292="","",E292*F292)</f>
        <v/>
      </c>
      <c r="H292" s="55" t="n">
        <f aca="false">IFERROR(VLOOKUP(C292,المخزن!$B$2:$H$201,7,FALSE()),0)</f>
        <v>0</v>
      </c>
      <c r="I292" s="27" t="str">
        <f aca="false">IF(C292="","",E292*H292)</f>
        <v/>
      </c>
    </row>
    <row r="293" customFormat="false" ht="15" hidden="false" customHeight="true" outlineLevel="0" collapsed="false">
      <c r="A293" s="21" t="str">
        <f aca="false">IF(C293="","",ROW()-1)</f>
        <v/>
      </c>
      <c r="B293" s="53"/>
      <c r="C293" s="22"/>
      <c r="D293" s="54" t="str">
        <f aca="false">IFERROR(VLOOKUP(C293,المخزن!$B$2:$H$201,2,FALSE()),"")</f>
        <v/>
      </c>
      <c r="E293" s="24"/>
      <c r="F293" s="26"/>
      <c r="G293" s="27" t="str">
        <f aca="false">IF(C293="","",E293*F293)</f>
        <v/>
      </c>
      <c r="H293" s="55" t="n">
        <f aca="false">IFERROR(VLOOKUP(C293,المخزن!$B$2:$H$201,7,FALSE()),0)</f>
        <v>0</v>
      </c>
      <c r="I293" s="27" t="str">
        <f aca="false">IF(C293="","",E293*H293)</f>
        <v/>
      </c>
    </row>
    <row r="294" customFormat="false" ht="15" hidden="false" customHeight="true" outlineLevel="0" collapsed="false">
      <c r="A294" s="21" t="str">
        <f aca="false">IF(C294="","",ROW()-1)</f>
        <v/>
      </c>
      <c r="B294" s="53"/>
      <c r="C294" s="22"/>
      <c r="D294" s="54" t="str">
        <f aca="false">IFERROR(VLOOKUP(C294,المخزن!$B$2:$H$201,2,FALSE()),"")</f>
        <v/>
      </c>
      <c r="E294" s="24"/>
      <c r="F294" s="26"/>
      <c r="G294" s="27" t="str">
        <f aca="false">IF(C294="","",E294*F294)</f>
        <v/>
      </c>
      <c r="H294" s="55" t="n">
        <f aca="false">IFERROR(VLOOKUP(C294,المخزن!$B$2:$H$201,7,FALSE()),0)</f>
        <v>0</v>
      </c>
      <c r="I294" s="27" t="str">
        <f aca="false">IF(C294="","",E294*H294)</f>
        <v/>
      </c>
    </row>
    <row r="295" customFormat="false" ht="15" hidden="false" customHeight="true" outlineLevel="0" collapsed="false">
      <c r="A295" s="21" t="str">
        <f aca="false">IF(C295="","",ROW()-1)</f>
        <v/>
      </c>
      <c r="B295" s="53"/>
      <c r="C295" s="22"/>
      <c r="D295" s="54" t="str">
        <f aca="false">IFERROR(VLOOKUP(C295,المخزن!$B$2:$H$201,2,FALSE()),"")</f>
        <v/>
      </c>
      <c r="E295" s="24"/>
      <c r="F295" s="26"/>
      <c r="G295" s="27" t="str">
        <f aca="false">IF(C295="","",E295*F295)</f>
        <v/>
      </c>
      <c r="H295" s="55" t="n">
        <f aca="false">IFERROR(VLOOKUP(C295,المخزن!$B$2:$H$201,7,FALSE()),0)</f>
        <v>0</v>
      </c>
      <c r="I295" s="27" t="str">
        <f aca="false">IF(C295="","",E295*H295)</f>
        <v/>
      </c>
    </row>
    <row r="296" customFormat="false" ht="15" hidden="false" customHeight="true" outlineLevel="0" collapsed="false">
      <c r="A296" s="21" t="str">
        <f aca="false">IF(C296="","",ROW()-1)</f>
        <v/>
      </c>
      <c r="B296" s="53"/>
      <c r="C296" s="22"/>
      <c r="D296" s="54" t="str">
        <f aca="false">IFERROR(VLOOKUP(C296,المخزن!$B$2:$H$201,2,FALSE()),"")</f>
        <v/>
      </c>
      <c r="E296" s="24"/>
      <c r="F296" s="26"/>
      <c r="G296" s="27" t="str">
        <f aca="false">IF(C296="","",E296*F296)</f>
        <v/>
      </c>
      <c r="H296" s="55" t="n">
        <f aca="false">IFERROR(VLOOKUP(C296,المخزن!$B$2:$H$201,7,FALSE()),0)</f>
        <v>0</v>
      </c>
      <c r="I296" s="27" t="str">
        <f aca="false">IF(C296="","",E296*H296)</f>
        <v/>
      </c>
    </row>
    <row r="297" customFormat="false" ht="15" hidden="false" customHeight="true" outlineLevel="0" collapsed="false">
      <c r="A297" s="21" t="str">
        <f aca="false">IF(C297="","",ROW()-1)</f>
        <v/>
      </c>
      <c r="B297" s="53"/>
      <c r="C297" s="22"/>
      <c r="D297" s="54" t="str">
        <f aca="false">IFERROR(VLOOKUP(C297,المخزن!$B$2:$H$201,2,FALSE()),"")</f>
        <v/>
      </c>
      <c r="E297" s="24"/>
      <c r="F297" s="26"/>
      <c r="G297" s="27" t="str">
        <f aca="false">IF(C297="","",E297*F297)</f>
        <v/>
      </c>
      <c r="H297" s="55" t="n">
        <f aca="false">IFERROR(VLOOKUP(C297,المخزن!$B$2:$H$201,7,FALSE()),0)</f>
        <v>0</v>
      </c>
      <c r="I297" s="27" t="str">
        <f aca="false">IF(C297="","",E297*H297)</f>
        <v/>
      </c>
    </row>
    <row r="298" customFormat="false" ht="15" hidden="false" customHeight="true" outlineLevel="0" collapsed="false">
      <c r="A298" s="21" t="str">
        <f aca="false">IF(C298="","",ROW()-1)</f>
        <v/>
      </c>
      <c r="B298" s="53"/>
      <c r="C298" s="22"/>
      <c r="D298" s="54" t="str">
        <f aca="false">IFERROR(VLOOKUP(C298,المخزن!$B$2:$H$201,2,FALSE()),"")</f>
        <v/>
      </c>
      <c r="E298" s="24"/>
      <c r="F298" s="26"/>
      <c r="G298" s="27" t="str">
        <f aca="false">IF(C298="","",E298*F298)</f>
        <v/>
      </c>
      <c r="H298" s="55" t="n">
        <f aca="false">IFERROR(VLOOKUP(C298,المخزن!$B$2:$H$201,7,FALSE()),0)</f>
        <v>0</v>
      </c>
      <c r="I298" s="27" t="str">
        <f aca="false">IF(C298="","",E298*H298)</f>
        <v/>
      </c>
    </row>
    <row r="299" customFormat="false" ht="15" hidden="false" customHeight="true" outlineLevel="0" collapsed="false">
      <c r="A299" s="21" t="str">
        <f aca="false">IF(C299="","",ROW()-1)</f>
        <v/>
      </c>
      <c r="B299" s="53"/>
      <c r="C299" s="22"/>
      <c r="D299" s="54" t="str">
        <f aca="false">IFERROR(VLOOKUP(C299,المخزن!$B$2:$H$201,2,FALSE()),"")</f>
        <v/>
      </c>
      <c r="E299" s="24"/>
      <c r="F299" s="26"/>
      <c r="G299" s="27" t="str">
        <f aca="false">IF(C299="","",E299*F299)</f>
        <v/>
      </c>
      <c r="H299" s="55" t="n">
        <f aca="false">IFERROR(VLOOKUP(C299,المخزن!$B$2:$H$201,7,FALSE()),0)</f>
        <v>0</v>
      </c>
      <c r="I299" s="27" t="str">
        <f aca="false">IF(C299="","",E299*H299)</f>
        <v/>
      </c>
    </row>
    <row r="300" customFormat="false" ht="15" hidden="false" customHeight="true" outlineLevel="0" collapsed="false">
      <c r="A300" s="21" t="str">
        <f aca="false">IF(C300="","",ROW()-1)</f>
        <v/>
      </c>
      <c r="B300" s="53"/>
      <c r="C300" s="22"/>
      <c r="D300" s="54" t="str">
        <f aca="false">IFERROR(VLOOKUP(C300,المخزن!$B$2:$H$201,2,FALSE()),"")</f>
        <v/>
      </c>
      <c r="E300" s="24"/>
      <c r="F300" s="26"/>
      <c r="G300" s="27" t="str">
        <f aca="false">IF(C300="","",E300*F300)</f>
        <v/>
      </c>
      <c r="H300" s="55" t="n">
        <f aca="false">IFERROR(VLOOKUP(C300,المخزن!$B$2:$H$201,7,FALSE()),0)</f>
        <v>0</v>
      </c>
      <c r="I300" s="27" t="str">
        <f aca="false">IF(C300="","",E300*H300)</f>
        <v/>
      </c>
    </row>
    <row r="301" customFormat="false" ht="15" hidden="false" customHeight="true" outlineLevel="0" collapsed="false">
      <c r="A301" s="21" t="str">
        <f aca="false">IF(C301="","",ROW()-1)</f>
        <v/>
      </c>
      <c r="B301" s="53"/>
      <c r="C301" s="22"/>
      <c r="D301" s="54" t="str">
        <f aca="false">IFERROR(VLOOKUP(C301,المخزن!$B$2:$H$201,2,FALSE()),"")</f>
        <v/>
      </c>
      <c r="E301" s="24"/>
      <c r="F301" s="26"/>
      <c r="G301" s="27" t="str">
        <f aca="false">IF(C301="","",E301*F301)</f>
        <v/>
      </c>
      <c r="H301" s="55" t="n">
        <f aca="false">IFERROR(VLOOKUP(C301,المخزن!$B$2:$H$201,7,FALSE()),0)</f>
        <v>0</v>
      </c>
      <c r="I301" s="27" t="str">
        <f aca="false">IF(C301="","",E301*H301)</f>
        <v/>
      </c>
    </row>
    <row r="302" customFormat="false" ht="15" hidden="false" customHeight="true" outlineLevel="0" collapsed="false">
      <c r="A302" s="21" t="str">
        <f aca="false">IF(C302="","",ROW()-1)</f>
        <v/>
      </c>
      <c r="B302" s="53"/>
      <c r="C302" s="22"/>
      <c r="D302" s="54" t="str">
        <f aca="false">IFERROR(VLOOKUP(C302,المخزن!$B$2:$H$201,2,FALSE()),"")</f>
        <v/>
      </c>
      <c r="E302" s="24"/>
      <c r="F302" s="26"/>
      <c r="G302" s="27" t="str">
        <f aca="false">IF(C302="","",E302*F302)</f>
        <v/>
      </c>
      <c r="H302" s="55" t="n">
        <f aca="false">IFERROR(VLOOKUP(C302,المخزن!$B$2:$H$201,7,FALSE()),0)</f>
        <v>0</v>
      </c>
      <c r="I302" s="27" t="str">
        <f aca="false">IF(C302="","",E302*H302)</f>
        <v/>
      </c>
    </row>
    <row r="303" customFormat="false" ht="15" hidden="false" customHeight="true" outlineLevel="0" collapsed="false">
      <c r="A303" s="21" t="str">
        <f aca="false">IF(C303="","",ROW()-1)</f>
        <v/>
      </c>
      <c r="B303" s="53"/>
      <c r="C303" s="22"/>
      <c r="D303" s="54" t="str">
        <f aca="false">IFERROR(VLOOKUP(C303,المخزن!$B$2:$H$201,2,FALSE()),"")</f>
        <v/>
      </c>
      <c r="E303" s="24"/>
      <c r="F303" s="26"/>
      <c r="G303" s="27" t="str">
        <f aca="false">IF(C303="","",E303*F303)</f>
        <v/>
      </c>
      <c r="H303" s="55" t="n">
        <f aca="false">IFERROR(VLOOKUP(C303,المخزن!$B$2:$H$201,7,FALSE()),0)</f>
        <v>0</v>
      </c>
      <c r="I303" s="27" t="str">
        <f aca="false">IF(C303="","",E303*H303)</f>
        <v/>
      </c>
    </row>
    <row r="304" customFormat="false" ht="15" hidden="false" customHeight="true" outlineLevel="0" collapsed="false">
      <c r="A304" s="21" t="str">
        <f aca="false">IF(C304="","",ROW()-1)</f>
        <v/>
      </c>
      <c r="B304" s="53"/>
      <c r="C304" s="22"/>
      <c r="D304" s="54" t="str">
        <f aca="false">IFERROR(VLOOKUP(C304,المخزن!$B$2:$H$201,2,FALSE()),"")</f>
        <v/>
      </c>
      <c r="E304" s="24"/>
      <c r="F304" s="26"/>
      <c r="G304" s="27" t="str">
        <f aca="false">IF(C304="","",E304*F304)</f>
        <v/>
      </c>
      <c r="H304" s="55" t="n">
        <f aca="false">IFERROR(VLOOKUP(C304,المخزن!$B$2:$H$201,7,FALSE()),0)</f>
        <v>0</v>
      </c>
      <c r="I304" s="27" t="str">
        <f aca="false">IF(C304="","",E304*H304)</f>
        <v/>
      </c>
    </row>
    <row r="305" customFormat="false" ht="15" hidden="false" customHeight="true" outlineLevel="0" collapsed="false">
      <c r="A305" s="21" t="str">
        <f aca="false">IF(C305="","",ROW()-1)</f>
        <v/>
      </c>
      <c r="B305" s="53"/>
      <c r="C305" s="22"/>
      <c r="D305" s="54" t="str">
        <f aca="false">IFERROR(VLOOKUP(C305,المخزن!$B$2:$H$201,2,FALSE()),"")</f>
        <v/>
      </c>
      <c r="E305" s="24"/>
      <c r="F305" s="26"/>
      <c r="G305" s="27" t="str">
        <f aca="false">IF(C305="","",E305*F305)</f>
        <v/>
      </c>
      <c r="H305" s="55" t="n">
        <f aca="false">IFERROR(VLOOKUP(C305,المخزن!$B$2:$H$201,7,FALSE()),0)</f>
        <v>0</v>
      </c>
      <c r="I305" s="27" t="str">
        <f aca="false">IF(C305="","",E305*H305)</f>
        <v/>
      </c>
    </row>
    <row r="306" customFormat="false" ht="15" hidden="false" customHeight="true" outlineLevel="0" collapsed="false">
      <c r="A306" s="21" t="str">
        <f aca="false">IF(C306="","",ROW()-1)</f>
        <v/>
      </c>
      <c r="B306" s="53"/>
      <c r="C306" s="22"/>
      <c r="D306" s="54" t="str">
        <f aca="false">IFERROR(VLOOKUP(C306,المخزن!$B$2:$H$201,2,FALSE()),"")</f>
        <v/>
      </c>
      <c r="E306" s="24"/>
      <c r="F306" s="26"/>
      <c r="G306" s="27" t="str">
        <f aca="false">IF(C306="","",E306*F306)</f>
        <v/>
      </c>
      <c r="H306" s="55" t="n">
        <f aca="false">IFERROR(VLOOKUP(C306,المخزن!$B$2:$H$201,7,FALSE()),0)</f>
        <v>0</v>
      </c>
      <c r="I306" s="27" t="str">
        <f aca="false">IF(C306="","",E306*H306)</f>
        <v/>
      </c>
    </row>
    <row r="307" customFormat="false" ht="15" hidden="false" customHeight="true" outlineLevel="0" collapsed="false">
      <c r="A307" s="21" t="str">
        <f aca="false">IF(C307="","",ROW()-1)</f>
        <v/>
      </c>
      <c r="B307" s="53"/>
      <c r="C307" s="22"/>
      <c r="D307" s="54" t="str">
        <f aca="false">IFERROR(VLOOKUP(C307,المخزن!$B$2:$H$201,2,FALSE()),"")</f>
        <v/>
      </c>
      <c r="E307" s="24"/>
      <c r="F307" s="26"/>
      <c r="G307" s="27" t="str">
        <f aca="false">IF(C307="","",E307*F307)</f>
        <v/>
      </c>
      <c r="H307" s="55" t="n">
        <f aca="false">IFERROR(VLOOKUP(C307,المخزن!$B$2:$H$201,7,FALSE()),0)</f>
        <v>0</v>
      </c>
      <c r="I307" s="27" t="str">
        <f aca="false">IF(C307="","",E307*H307)</f>
        <v/>
      </c>
    </row>
    <row r="308" customFormat="false" ht="15" hidden="false" customHeight="true" outlineLevel="0" collapsed="false">
      <c r="A308" s="21" t="str">
        <f aca="false">IF(C308="","",ROW()-1)</f>
        <v/>
      </c>
      <c r="B308" s="53"/>
      <c r="C308" s="22"/>
      <c r="D308" s="54" t="str">
        <f aca="false">IFERROR(VLOOKUP(C308,المخزن!$B$2:$H$201,2,FALSE()),"")</f>
        <v/>
      </c>
      <c r="E308" s="24"/>
      <c r="F308" s="26"/>
      <c r="G308" s="27" t="str">
        <f aca="false">IF(C308="","",E308*F308)</f>
        <v/>
      </c>
      <c r="H308" s="55" t="n">
        <f aca="false">IFERROR(VLOOKUP(C308,المخزن!$B$2:$H$201,7,FALSE()),0)</f>
        <v>0</v>
      </c>
      <c r="I308" s="27" t="str">
        <f aca="false">IF(C308="","",E308*H308)</f>
        <v/>
      </c>
    </row>
    <row r="309" customFormat="false" ht="15" hidden="false" customHeight="true" outlineLevel="0" collapsed="false">
      <c r="A309" s="21" t="str">
        <f aca="false">IF(C309="","",ROW()-1)</f>
        <v/>
      </c>
      <c r="B309" s="53"/>
      <c r="C309" s="22"/>
      <c r="D309" s="54" t="str">
        <f aca="false">IFERROR(VLOOKUP(C309,المخزن!$B$2:$H$201,2,FALSE()),"")</f>
        <v/>
      </c>
      <c r="E309" s="24"/>
      <c r="F309" s="26"/>
      <c r="G309" s="27" t="str">
        <f aca="false">IF(C309="","",E309*F309)</f>
        <v/>
      </c>
      <c r="H309" s="55" t="n">
        <f aca="false">IFERROR(VLOOKUP(C309,المخزن!$B$2:$H$201,7,FALSE()),0)</f>
        <v>0</v>
      </c>
      <c r="I309" s="27" t="str">
        <f aca="false">IF(C309="","",E309*H309)</f>
        <v/>
      </c>
    </row>
    <row r="310" customFormat="false" ht="15" hidden="false" customHeight="true" outlineLevel="0" collapsed="false">
      <c r="A310" s="21" t="str">
        <f aca="false">IF(C310="","",ROW()-1)</f>
        <v/>
      </c>
      <c r="B310" s="53"/>
      <c r="C310" s="22"/>
      <c r="D310" s="54" t="str">
        <f aca="false">IFERROR(VLOOKUP(C310,المخزن!$B$2:$H$201,2,FALSE()),"")</f>
        <v/>
      </c>
      <c r="E310" s="24"/>
      <c r="F310" s="26"/>
      <c r="G310" s="27" t="str">
        <f aca="false">IF(C310="","",E310*F310)</f>
        <v/>
      </c>
      <c r="H310" s="55" t="n">
        <f aca="false">IFERROR(VLOOKUP(C310,المخزن!$B$2:$H$201,7,FALSE()),0)</f>
        <v>0</v>
      </c>
      <c r="I310" s="27" t="str">
        <f aca="false">IF(C310="","",E310*H310)</f>
        <v/>
      </c>
    </row>
    <row r="311" customFormat="false" ht="15" hidden="false" customHeight="true" outlineLevel="0" collapsed="false">
      <c r="A311" s="21" t="str">
        <f aca="false">IF(C311="","",ROW()-1)</f>
        <v/>
      </c>
      <c r="B311" s="53"/>
      <c r="C311" s="22"/>
      <c r="D311" s="54" t="str">
        <f aca="false">IFERROR(VLOOKUP(C311,المخزن!$B$2:$H$201,2,FALSE()),"")</f>
        <v/>
      </c>
      <c r="E311" s="24"/>
      <c r="F311" s="26"/>
      <c r="G311" s="27" t="str">
        <f aca="false">IF(C311="","",E311*F311)</f>
        <v/>
      </c>
      <c r="H311" s="55" t="n">
        <f aca="false">IFERROR(VLOOKUP(C311,المخزن!$B$2:$H$201,7,FALSE()),0)</f>
        <v>0</v>
      </c>
      <c r="I311" s="27" t="str">
        <f aca="false">IF(C311="","",E311*H311)</f>
        <v/>
      </c>
    </row>
    <row r="312" customFormat="false" ht="15" hidden="false" customHeight="true" outlineLevel="0" collapsed="false">
      <c r="A312" s="21" t="str">
        <f aca="false">IF(C312="","",ROW()-1)</f>
        <v/>
      </c>
      <c r="B312" s="53"/>
      <c r="C312" s="22"/>
      <c r="D312" s="54" t="str">
        <f aca="false">IFERROR(VLOOKUP(C312,المخزن!$B$2:$H$201,2,FALSE()),"")</f>
        <v/>
      </c>
      <c r="E312" s="24"/>
      <c r="F312" s="26"/>
      <c r="G312" s="27" t="str">
        <f aca="false">IF(C312="","",E312*F312)</f>
        <v/>
      </c>
      <c r="H312" s="55" t="n">
        <f aca="false">IFERROR(VLOOKUP(C312,المخزن!$B$2:$H$201,7,FALSE()),0)</f>
        <v>0</v>
      </c>
      <c r="I312" s="27" t="str">
        <f aca="false">IF(C312="","",E312*H312)</f>
        <v/>
      </c>
    </row>
    <row r="313" customFormat="false" ht="15" hidden="false" customHeight="true" outlineLevel="0" collapsed="false">
      <c r="A313" s="21" t="str">
        <f aca="false">IF(C313="","",ROW()-1)</f>
        <v/>
      </c>
      <c r="B313" s="53"/>
      <c r="C313" s="22"/>
      <c r="D313" s="54" t="str">
        <f aca="false">IFERROR(VLOOKUP(C313,المخزن!$B$2:$H$201,2,FALSE()),"")</f>
        <v/>
      </c>
      <c r="E313" s="24"/>
      <c r="F313" s="26"/>
      <c r="G313" s="27" t="str">
        <f aca="false">IF(C313="","",E313*F313)</f>
        <v/>
      </c>
      <c r="H313" s="55" t="n">
        <f aca="false">IFERROR(VLOOKUP(C313,المخزن!$B$2:$H$201,7,FALSE()),0)</f>
        <v>0</v>
      </c>
      <c r="I313" s="27" t="str">
        <f aca="false">IF(C313="","",E313*H313)</f>
        <v/>
      </c>
    </row>
    <row r="314" customFormat="false" ht="15" hidden="false" customHeight="true" outlineLevel="0" collapsed="false">
      <c r="A314" s="21" t="str">
        <f aca="false">IF(C314="","",ROW()-1)</f>
        <v/>
      </c>
      <c r="B314" s="53"/>
      <c r="C314" s="22"/>
      <c r="D314" s="54" t="str">
        <f aca="false">IFERROR(VLOOKUP(C314,المخزن!$B$2:$H$201,2,FALSE()),"")</f>
        <v/>
      </c>
      <c r="E314" s="24"/>
      <c r="F314" s="26"/>
      <c r="G314" s="27" t="str">
        <f aca="false">IF(C314="","",E314*F314)</f>
        <v/>
      </c>
      <c r="H314" s="55" t="n">
        <f aca="false">IFERROR(VLOOKUP(C314,المخزن!$B$2:$H$201,7,FALSE()),0)</f>
        <v>0</v>
      </c>
      <c r="I314" s="27" t="str">
        <f aca="false">IF(C314="","",E314*H314)</f>
        <v/>
      </c>
    </row>
    <row r="315" customFormat="false" ht="15" hidden="false" customHeight="true" outlineLevel="0" collapsed="false">
      <c r="A315" s="21" t="str">
        <f aca="false">IF(C315="","",ROW()-1)</f>
        <v/>
      </c>
      <c r="B315" s="53"/>
      <c r="C315" s="22"/>
      <c r="D315" s="54" t="str">
        <f aca="false">IFERROR(VLOOKUP(C315,المخزن!$B$2:$H$201,2,FALSE()),"")</f>
        <v/>
      </c>
      <c r="E315" s="24"/>
      <c r="F315" s="26"/>
      <c r="G315" s="27" t="str">
        <f aca="false">IF(C315="","",E315*F315)</f>
        <v/>
      </c>
      <c r="H315" s="55" t="n">
        <f aca="false">IFERROR(VLOOKUP(C315,المخزن!$B$2:$H$201,7,FALSE()),0)</f>
        <v>0</v>
      </c>
      <c r="I315" s="27" t="str">
        <f aca="false">IF(C315="","",E315*H315)</f>
        <v/>
      </c>
    </row>
    <row r="316" customFormat="false" ht="15" hidden="false" customHeight="true" outlineLevel="0" collapsed="false">
      <c r="A316" s="21" t="str">
        <f aca="false">IF(C316="","",ROW()-1)</f>
        <v/>
      </c>
      <c r="B316" s="53"/>
      <c r="C316" s="22"/>
      <c r="D316" s="54" t="str">
        <f aca="false">IFERROR(VLOOKUP(C316,المخزن!$B$2:$H$201,2,FALSE()),"")</f>
        <v/>
      </c>
      <c r="E316" s="24"/>
      <c r="F316" s="26"/>
      <c r="G316" s="27" t="str">
        <f aca="false">IF(C316="","",E316*F316)</f>
        <v/>
      </c>
      <c r="H316" s="55" t="n">
        <f aca="false">IFERROR(VLOOKUP(C316,المخزن!$B$2:$H$201,7,FALSE()),0)</f>
        <v>0</v>
      </c>
      <c r="I316" s="27" t="str">
        <f aca="false">IF(C316="","",E316*H316)</f>
        <v/>
      </c>
    </row>
    <row r="317" customFormat="false" ht="15" hidden="false" customHeight="true" outlineLevel="0" collapsed="false">
      <c r="A317" s="21" t="str">
        <f aca="false">IF(C317="","",ROW()-1)</f>
        <v/>
      </c>
      <c r="B317" s="53"/>
      <c r="C317" s="22"/>
      <c r="D317" s="54" t="str">
        <f aca="false">IFERROR(VLOOKUP(C317,المخزن!$B$2:$H$201,2,FALSE()),"")</f>
        <v/>
      </c>
      <c r="E317" s="24"/>
      <c r="F317" s="26"/>
      <c r="G317" s="27" t="str">
        <f aca="false">IF(C317="","",E317*F317)</f>
        <v/>
      </c>
      <c r="H317" s="55" t="n">
        <f aca="false">IFERROR(VLOOKUP(C317,المخزن!$B$2:$H$201,7,FALSE()),0)</f>
        <v>0</v>
      </c>
      <c r="I317" s="27" t="str">
        <f aca="false">IF(C317="","",E317*H317)</f>
        <v/>
      </c>
    </row>
    <row r="318" customFormat="false" ht="15" hidden="false" customHeight="true" outlineLevel="0" collapsed="false">
      <c r="A318" s="21" t="str">
        <f aca="false">IF(C318="","",ROW()-1)</f>
        <v/>
      </c>
      <c r="B318" s="53"/>
      <c r="C318" s="22"/>
      <c r="D318" s="54" t="str">
        <f aca="false">IFERROR(VLOOKUP(C318,المخزن!$B$2:$H$201,2,FALSE()),"")</f>
        <v/>
      </c>
      <c r="E318" s="24"/>
      <c r="F318" s="26"/>
      <c r="G318" s="27" t="str">
        <f aca="false">IF(C318="","",E318*F318)</f>
        <v/>
      </c>
      <c r="H318" s="55" t="n">
        <f aca="false">IFERROR(VLOOKUP(C318,المخزن!$B$2:$H$201,7,FALSE()),0)</f>
        <v>0</v>
      </c>
      <c r="I318" s="27" t="str">
        <f aca="false">IF(C318="","",E318*H318)</f>
        <v/>
      </c>
    </row>
    <row r="319" customFormat="false" ht="15" hidden="false" customHeight="true" outlineLevel="0" collapsed="false">
      <c r="A319" s="21" t="str">
        <f aca="false">IF(C319="","",ROW()-1)</f>
        <v/>
      </c>
      <c r="B319" s="53"/>
      <c r="C319" s="22"/>
      <c r="D319" s="54" t="str">
        <f aca="false">IFERROR(VLOOKUP(C319,المخزن!$B$2:$H$201,2,FALSE()),"")</f>
        <v/>
      </c>
      <c r="E319" s="24"/>
      <c r="F319" s="26"/>
      <c r="G319" s="27" t="str">
        <f aca="false">IF(C319="","",E319*F319)</f>
        <v/>
      </c>
      <c r="H319" s="55" t="n">
        <f aca="false">IFERROR(VLOOKUP(C319,المخزن!$B$2:$H$201,7,FALSE()),0)</f>
        <v>0</v>
      </c>
      <c r="I319" s="27" t="str">
        <f aca="false">IF(C319="","",E319*H319)</f>
        <v/>
      </c>
    </row>
    <row r="320" customFormat="false" ht="15" hidden="false" customHeight="true" outlineLevel="0" collapsed="false">
      <c r="A320" s="21" t="str">
        <f aca="false">IF(C320="","",ROW()-1)</f>
        <v/>
      </c>
      <c r="B320" s="53"/>
      <c r="C320" s="22"/>
      <c r="D320" s="54" t="str">
        <f aca="false">IFERROR(VLOOKUP(C320,المخزن!$B$2:$H$201,2,FALSE()),"")</f>
        <v/>
      </c>
      <c r="E320" s="24"/>
      <c r="F320" s="26"/>
      <c r="G320" s="27" t="str">
        <f aca="false">IF(C320="","",E320*F320)</f>
        <v/>
      </c>
      <c r="H320" s="55" t="n">
        <f aca="false">IFERROR(VLOOKUP(C320,المخزن!$B$2:$H$201,7,FALSE()),0)</f>
        <v>0</v>
      </c>
      <c r="I320" s="27" t="str">
        <f aca="false">IF(C320="","",E320*H320)</f>
        <v/>
      </c>
    </row>
    <row r="321" customFormat="false" ht="15" hidden="false" customHeight="true" outlineLevel="0" collapsed="false">
      <c r="A321" s="21" t="str">
        <f aca="false">IF(C321="","",ROW()-1)</f>
        <v/>
      </c>
      <c r="B321" s="53"/>
      <c r="C321" s="22"/>
      <c r="D321" s="54" t="str">
        <f aca="false">IFERROR(VLOOKUP(C321,المخزن!$B$2:$H$201,2,FALSE()),"")</f>
        <v/>
      </c>
      <c r="E321" s="24"/>
      <c r="F321" s="26"/>
      <c r="G321" s="27" t="str">
        <f aca="false">IF(C321="","",E321*F321)</f>
        <v/>
      </c>
      <c r="H321" s="55" t="n">
        <f aca="false">IFERROR(VLOOKUP(C321,المخزن!$B$2:$H$201,7,FALSE()),0)</f>
        <v>0</v>
      </c>
      <c r="I321" s="27" t="str">
        <f aca="false">IF(C321="","",E321*H321)</f>
        <v/>
      </c>
    </row>
    <row r="322" customFormat="false" ht="15" hidden="false" customHeight="true" outlineLevel="0" collapsed="false">
      <c r="A322" s="21" t="str">
        <f aca="false">IF(C322="","",ROW()-1)</f>
        <v/>
      </c>
      <c r="B322" s="53"/>
      <c r="C322" s="22"/>
      <c r="D322" s="54" t="str">
        <f aca="false">IFERROR(VLOOKUP(C322,المخزن!$B$2:$H$201,2,FALSE()),"")</f>
        <v/>
      </c>
      <c r="E322" s="24"/>
      <c r="F322" s="26"/>
      <c r="G322" s="27" t="str">
        <f aca="false">IF(C322="","",E322*F322)</f>
        <v/>
      </c>
      <c r="H322" s="55" t="n">
        <f aca="false">IFERROR(VLOOKUP(C322,المخزن!$B$2:$H$201,7,FALSE()),0)</f>
        <v>0</v>
      </c>
      <c r="I322" s="27" t="str">
        <f aca="false">IF(C322="","",E322*H322)</f>
        <v/>
      </c>
    </row>
    <row r="323" customFormat="false" ht="15" hidden="false" customHeight="true" outlineLevel="0" collapsed="false">
      <c r="A323" s="21" t="str">
        <f aca="false">IF(C323="","",ROW()-1)</f>
        <v/>
      </c>
      <c r="B323" s="53"/>
      <c r="C323" s="22"/>
      <c r="D323" s="54" t="str">
        <f aca="false">IFERROR(VLOOKUP(C323,المخزن!$B$2:$H$201,2,FALSE()),"")</f>
        <v/>
      </c>
      <c r="E323" s="24"/>
      <c r="F323" s="26"/>
      <c r="G323" s="27" t="str">
        <f aca="false">IF(C323="","",E323*F323)</f>
        <v/>
      </c>
      <c r="H323" s="55" t="n">
        <f aca="false">IFERROR(VLOOKUP(C323,المخزن!$B$2:$H$201,7,FALSE()),0)</f>
        <v>0</v>
      </c>
      <c r="I323" s="27" t="str">
        <f aca="false">IF(C323="","",E323*H323)</f>
        <v/>
      </c>
    </row>
    <row r="324" customFormat="false" ht="15" hidden="false" customHeight="true" outlineLevel="0" collapsed="false">
      <c r="A324" s="21" t="str">
        <f aca="false">IF(C324="","",ROW()-1)</f>
        <v/>
      </c>
      <c r="B324" s="53"/>
      <c r="C324" s="22"/>
      <c r="D324" s="54" t="str">
        <f aca="false">IFERROR(VLOOKUP(C324,المخزن!$B$2:$H$201,2,FALSE()),"")</f>
        <v/>
      </c>
      <c r="E324" s="24"/>
      <c r="F324" s="26"/>
      <c r="G324" s="27" t="str">
        <f aca="false">IF(C324="","",E324*F324)</f>
        <v/>
      </c>
      <c r="H324" s="55" t="n">
        <f aca="false">IFERROR(VLOOKUP(C324,المخزن!$B$2:$H$201,7,FALSE()),0)</f>
        <v>0</v>
      </c>
      <c r="I324" s="27" t="str">
        <f aca="false">IF(C324="","",E324*H324)</f>
        <v/>
      </c>
    </row>
    <row r="325" customFormat="false" ht="15" hidden="false" customHeight="true" outlineLevel="0" collapsed="false">
      <c r="A325" s="21" t="str">
        <f aca="false">IF(C325="","",ROW()-1)</f>
        <v/>
      </c>
      <c r="B325" s="53"/>
      <c r="C325" s="22"/>
      <c r="D325" s="54" t="str">
        <f aca="false">IFERROR(VLOOKUP(C325,المخزن!$B$2:$H$201,2,FALSE()),"")</f>
        <v/>
      </c>
      <c r="E325" s="24"/>
      <c r="F325" s="26"/>
      <c r="G325" s="27" t="str">
        <f aca="false">IF(C325="","",E325*F325)</f>
        <v/>
      </c>
      <c r="H325" s="55" t="n">
        <f aca="false">IFERROR(VLOOKUP(C325,المخزن!$B$2:$H$201,7,FALSE()),0)</f>
        <v>0</v>
      </c>
      <c r="I325" s="27" t="str">
        <f aca="false">IF(C325="","",E325*H325)</f>
        <v/>
      </c>
    </row>
    <row r="326" customFormat="false" ht="15" hidden="false" customHeight="true" outlineLevel="0" collapsed="false">
      <c r="A326" s="21" t="str">
        <f aca="false">IF(C326="","",ROW()-1)</f>
        <v/>
      </c>
      <c r="B326" s="53"/>
      <c r="C326" s="22"/>
      <c r="D326" s="54" t="str">
        <f aca="false">IFERROR(VLOOKUP(C326,المخزن!$B$2:$H$201,2,FALSE()),"")</f>
        <v/>
      </c>
      <c r="E326" s="24"/>
      <c r="F326" s="26"/>
      <c r="G326" s="27" t="str">
        <f aca="false">IF(C326="","",E326*F326)</f>
        <v/>
      </c>
      <c r="H326" s="55" t="n">
        <f aca="false">IFERROR(VLOOKUP(C326,المخزن!$B$2:$H$201,7,FALSE()),0)</f>
        <v>0</v>
      </c>
      <c r="I326" s="27" t="str">
        <f aca="false">IF(C326="","",E326*H326)</f>
        <v/>
      </c>
    </row>
    <row r="327" customFormat="false" ht="15" hidden="false" customHeight="true" outlineLevel="0" collapsed="false">
      <c r="A327" s="21" t="str">
        <f aca="false">IF(C327="","",ROW()-1)</f>
        <v/>
      </c>
      <c r="B327" s="53"/>
      <c r="C327" s="22"/>
      <c r="D327" s="54" t="str">
        <f aca="false">IFERROR(VLOOKUP(C327,المخزن!$B$2:$H$201,2,FALSE()),"")</f>
        <v/>
      </c>
      <c r="E327" s="24"/>
      <c r="F327" s="26"/>
      <c r="G327" s="27" t="str">
        <f aca="false">IF(C327="","",E327*F327)</f>
        <v/>
      </c>
      <c r="H327" s="55" t="n">
        <f aca="false">IFERROR(VLOOKUP(C327,المخزن!$B$2:$H$201,7,FALSE()),0)</f>
        <v>0</v>
      </c>
      <c r="I327" s="27" t="str">
        <f aca="false">IF(C327="","",E327*H327)</f>
        <v/>
      </c>
    </row>
    <row r="328" customFormat="false" ht="15" hidden="false" customHeight="true" outlineLevel="0" collapsed="false">
      <c r="A328" s="21" t="str">
        <f aca="false">IF(C328="","",ROW()-1)</f>
        <v/>
      </c>
      <c r="B328" s="53"/>
      <c r="C328" s="22"/>
      <c r="D328" s="54" t="str">
        <f aca="false">IFERROR(VLOOKUP(C328,المخزن!$B$2:$H$201,2,FALSE()),"")</f>
        <v/>
      </c>
      <c r="E328" s="24"/>
      <c r="F328" s="26"/>
      <c r="G328" s="27" t="str">
        <f aca="false">IF(C328="","",E328*F328)</f>
        <v/>
      </c>
      <c r="H328" s="55" t="n">
        <f aca="false">IFERROR(VLOOKUP(C328,المخزن!$B$2:$H$201,7,FALSE()),0)</f>
        <v>0</v>
      </c>
      <c r="I328" s="27" t="str">
        <f aca="false">IF(C328="","",E328*H328)</f>
        <v/>
      </c>
    </row>
    <row r="329" customFormat="false" ht="15" hidden="false" customHeight="true" outlineLevel="0" collapsed="false">
      <c r="A329" s="21" t="str">
        <f aca="false">IF(C329="","",ROW()-1)</f>
        <v/>
      </c>
      <c r="B329" s="53"/>
      <c r="C329" s="22"/>
      <c r="D329" s="54" t="str">
        <f aca="false">IFERROR(VLOOKUP(C329,المخزن!$B$2:$H$201,2,FALSE()),"")</f>
        <v/>
      </c>
      <c r="E329" s="24"/>
      <c r="F329" s="26"/>
      <c r="G329" s="27" t="str">
        <f aca="false">IF(C329="","",E329*F329)</f>
        <v/>
      </c>
      <c r="H329" s="55" t="n">
        <f aca="false">IFERROR(VLOOKUP(C329,المخزن!$B$2:$H$201,7,FALSE()),0)</f>
        <v>0</v>
      </c>
      <c r="I329" s="27" t="str">
        <f aca="false">IF(C329="","",E329*H329)</f>
        <v/>
      </c>
    </row>
    <row r="330" customFormat="false" ht="15" hidden="false" customHeight="true" outlineLevel="0" collapsed="false">
      <c r="A330" s="21" t="str">
        <f aca="false">IF(C330="","",ROW()-1)</f>
        <v/>
      </c>
      <c r="B330" s="53"/>
      <c r="C330" s="22"/>
      <c r="D330" s="54" t="str">
        <f aca="false">IFERROR(VLOOKUP(C330,المخزن!$B$2:$H$201,2,FALSE()),"")</f>
        <v/>
      </c>
      <c r="E330" s="24"/>
      <c r="F330" s="26"/>
      <c r="G330" s="27" t="str">
        <f aca="false">IF(C330="","",E330*F330)</f>
        <v/>
      </c>
      <c r="H330" s="55" t="n">
        <f aca="false">IFERROR(VLOOKUP(C330,المخزن!$B$2:$H$201,7,FALSE()),0)</f>
        <v>0</v>
      </c>
      <c r="I330" s="27" t="str">
        <f aca="false">IF(C330="","",E330*H330)</f>
        <v/>
      </c>
    </row>
    <row r="331" customFormat="false" ht="15" hidden="false" customHeight="true" outlineLevel="0" collapsed="false">
      <c r="A331" s="21" t="str">
        <f aca="false">IF(C331="","",ROW()-1)</f>
        <v/>
      </c>
      <c r="B331" s="53"/>
      <c r="C331" s="22"/>
      <c r="D331" s="54" t="str">
        <f aca="false">IFERROR(VLOOKUP(C331,المخزن!$B$2:$H$201,2,FALSE()),"")</f>
        <v/>
      </c>
      <c r="E331" s="24"/>
      <c r="F331" s="26"/>
      <c r="G331" s="27" t="str">
        <f aca="false">IF(C331="","",E331*F331)</f>
        <v/>
      </c>
      <c r="H331" s="55" t="n">
        <f aca="false">IFERROR(VLOOKUP(C331,المخزن!$B$2:$H$201,7,FALSE()),0)</f>
        <v>0</v>
      </c>
      <c r="I331" s="27" t="str">
        <f aca="false">IF(C331="","",E331*H331)</f>
        <v/>
      </c>
    </row>
    <row r="332" customFormat="false" ht="15" hidden="false" customHeight="true" outlineLevel="0" collapsed="false">
      <c r="A332" s="21" t="str">
        <f aca="false">IF(C332="","",ROW()-1)</f>
        <v/>
      </c>
      <c r="B332" s="53"/>
      <c r="C332" s="22"/>
      <c r="D332" s="54" t="str">
        <f aca="false">IFERROR(VLOOKUP(C332,المخزن!$B$2:$H$201,2,FALSE()),"")</f>
        <v/>
      </c>
      <c r="E332" s="24"/>
      <c r="F332" s="26"/>
      <c r="G332" s="27" t="str">
        <f aca="false">IF(C332="","",E332*F332)</f>
        <v/>
      </c>
      <c r="H332" s="55" t="n">
        <f aca="false">IFERROR(VLOOKUP(C332,المخزن!$B$2:$H$201,7,FALSE()),0)</f>
        <v>0</v>
      </c>
      <c r="I332" s="27" t="str">
        <f aca="false">IF(C332="","",E332*H332)</f>
        <v/>
      </c>
    </row>
    <row r="333" customFormat="false" ht="15" hidden="false" customHeight="true" outlineLevel="0" collapsed="false">
      <c r="A333" s="21" t="str">
        <f aca="false">IF(C333="","",ROW()-1)</f>
        <v/>
      </c>
      <c r="B333" s="53"/>
      <c r="C333" s="22"/>
      <c r="D333" s="54" t="str">
        <f aca="false">IFERROR(VLOOKUP(C333,المخزن!$B$2:$H$201,2,FALSE()),"")</f>
        <v/>
      </c>
      <c r="E333" s="24"/>
      <c r="F333" s="26"/>
      <c r="G333" s="27" t="str">
        <f aca="false">IF(C333="","",E333*F333)</f>
        <v/>
      </c>
      <c r="H333" s="55" t="n">
        <f aca="false">IFERROR(VLOOKUP(C333,المخزن!$B$2:$H$201,7,FALSE()),0)</f>
        <v>0</v>
      </c>
      <c r="I333" s="27" t="str">
        <f aca="false">IF(C333="","",E333*H333)</f>
        <v/>
      </c>
    </row>
    <row r="334" customFormat="false" ht="15" hidden="false" customHeight="true" outlineLevel="0" collapsed="false">
      <c r="A334" s="21" t="str">
        <f aca="false">IF(C334="","",ROW()-1)</f>
        <v/>
      </c>
      <c r="B334" s="53"/>
      <c r="C334" s="22"/>
      <c r="D334" s="54" t="str">
        <f aca="false">IFERROR(VLOOKUP(C334,المخزن!$B$2:$H$201,2,FALSE()),"")</f>
        <v/>
      </c>
      <c r="E334" s="24"/>
      <c r="F334" s="26"/>
      <c r="G334" s="27" t="str">
        <f aca="false">IF(C334="","",E334*F334)</f>
        <v/>
      </c>
      <c r="H334" s="55" t="n">
        <f aca="false">IFERROR(VLOOKUP(C334,المخزن!$B$2:$H$201,7,FALSE()),0)</f>
        <v>0</v>
      </c>
      <c r="I334" s="27" t="str">
        <f aca="false">IF(C334="","",E334*H334)</f>
        <v/>
      </c>
    </row>
    <row r="335" customFormat="false" ht="15" hidden="false" customHeight="true" outlineLevel="0" collapsed="false">
      <c r="A335" s="21" t="str">
        <f aca="false">IF(C335="","",ROW()-1)</f>
        <v/>
      </c>
      <c r="B335" s="53"/>
      <c r="C335" s="22"/>
      <c r="D335" s="54" t="str">
        <f aca="false">IFERROR(VLOOKUP(C335,المخزن!$B$2:$H$201,2,FALSE()),"")</f>
        <v/>
      </c>
      <c r="E335" s="24"/>
      <c r="F335" s="26"/>
      <c r="G335" s="27" t="str">
        <f aca="false">IF(C335="","",E335*F335)</f>
        <v/>
      </c>
      <c r="H335" s="55" t="n">
        <f aca="false">IFERROR(VLOOKUP(C335,المخزن!$B$2:$H$201,7,FALSE()),0)</f>
        <v>0</v>
      </c>
      <c r="I335" s="27" t="str">
        <f aca="false">IF(C335="","",E335*H335)</f>
        <v/>
      </c>
    </row>
    <row r="336" customFormat="false" ht="15" hidden="false" customHeight="true" outlineLevel="0" collapsed="false">
      <c r="A336" s="21" t="str">
        <f aca="false">IF(C336="","",ROW()-1)</f>
        <v/>
      </c>
      <c r="B336" s="53"/>
      <c r="C336" s="22"/>
      <c r="D336" s="54" t="str">
        <f aca="false">IFERROR(VLOOKUP(C336,المخزن!$B$2:$H$201,2,FALSE()),"")</f>
        <v/>
      </c>
      <c r="E336" s="24"/>
      <c r="F336" s="26"/>
      <c r="G336" s="27" t="str">
        <f aca="false">IF(C336="","",E336*F336)</f>
        <v/>
      </c>
      <c r="H336" s="55" t="n">
        <f aca="false">IFERROR(VLOOKUP(C336,المخزن!$B$2:$H$201,7,FALSE()),0)</f>
        <v>0</v>
      </c>
      <c r="I336" s="27" t="str">
        <f aca="false">IF(C336="","",E336*H336)</f>
        <v/>
      </c>
    </row>
    <row r="337" customFormat="false" ht="15" hidden="false" customHeight="true" outlineLevel="0" collapsed="false">
      <c r="A337" s="21" t="str">
        <f aca="false">IF(C337="","",ROW()-1)</f>
        <v/>
      </c>
      <c r="B337" s="53"/>
      <c r="C337" s="22"/>
      <c r="D337" s="54" t="str">
        <f aca="false">IFERROR(VLOOKUP(C337,المخزن!$B$2:$H$201,2,FALSE()),"")</f>
        <v/>
      </c>
      <c r="E337" s="24"/>
      <c r="F337" s="26"/>
      <c r="G337" s="27" t="str">
        <f aca="false">IF(C337="","",E337*F337)</f>
        <v/>
      </c>
      <c r="H337" s="55" t="n">
        <f aca="false">IFERROR(VLOOKUP(C337,المخزن!$B$2:$H$201,7,FALSE()),0)</f>
        <v>0</v>
      </c>
      <c r="I337" s="27" t="str">
        <f aca="false">IF(C337="","",E337*H337)</f>
        <v/>
      </c>
    </row>
    <row r="338" customFormat="false" ht="15" hidden="false" customHeight="true" outlineLevel="0" collapsed="false">
      <c r="A338" s="21" t="str">
        <f aca="false">IF(C338="","",ROW()-1)</f>
        <v/>
      </c>
      <c r="B338" s="53"/>
      <c r="C338" s="22"/>
      <c r="D338" s="54" t="str">
        <f aca="false">IFERROR(VLOOKUP(C338,المخزن!$B$2:$H$201,2,FALSE()),"")</f>
        <v/>
      </c>
      <c r="E338" s="24"/>
      <c r="F338" s="26"/>
      <c r="G338" s="27" t="str">
        <f aca="false">IF(C338="","",E338*F338)</f>
        <v/>
      </c>
      <c r="H338" s="55" t="n">
        <f aca="false">IFERROR(VLOOKUP(C338,المخزن!$B$2:$H$201,7,FALSE()),0)</f>
        <v>0</v>
      </c>
      <c r="I338" s="27" t="str">
        <f aca="false">IF(C338="","",E338*H338)</f>
        <v/>
      </c>
    </row>
    <row r="339" customFormat="false" ht="15" hidden="false" customHeight="true" outlineLevel="0" collapsed="false">
      <c r="A339" s="21" t="str">
        <f aca="false">IF(C339="","",ROW()-1)</f>
        <v/>
      </c>
      <c r="B339" s="53"/>
      <c r="C339" s="22"/>
      <c r="D339" s="54" t="str">
        <f aca="false">IFERROR(VLOOKUP(C339,المخزن!$B$2:$H$201,2,FALSE()),"")</f>
        <v/>
      </c>
      <c r="E339" s="24"/>
      <c r="F339" s="26"/>
      <c r="G339" s="27" t="str">
        <f aca="false">IF(C339="","",E339*F339)</f>
        <v/>
      </c>
      <c r="H339" s="55" t="n">
        <f aca="false">IFERROR(VLOOKUP(C339,المخزن!$B$2:$H$201,7,FALSE()),0)</f>
        <v>0</v>
      </c>
      <c r="I339" s="27" t="str">
        <f aca="false">IF(C339="","",E339*H339)</f>
        <v/>
      </c>
    </row>
    <row r="340" customFormat="false" ht="15" hidden="false" customHeight="true" outlineLevel="0" collapsed="false">
      <c r="A340" s="21" t="str">
        <f aca="false">IF(C340="","",ROW()-1)</f>
        <v/>
      </c>
      <c r="B340" s="53"/>
      <c r="C340" s="22"/>
      <c r="D340" s="54" t="str">
        <f aca="false">IFERROR(VLOOKUP(C340,المخزن!$B$2:$H$201,2,FALSE()),"")</f>
        <v/>
      </c>
      <c r="E340" s="24"/>
      <c r="F340" s="26"/>
      <c r="G340" s="27" t="str">
        <f aca="false">IF(C340="","",E340*F340)</f>
        <v/>
      </c>
      <c r="H340" s="55" t="n">
        <f aca="false">IFERROR(VLOOKUP(C340,المخزن!$B$2:$H$201,7,FALSE()),0)</f>
        <v>0</v>
      </c>
      <c r="I340" s="27" t="str">
        <f aca="false">IF(C340="","",E340*H340)</f>
        <v/>
      </c>
    </row>
    <row r="341" customFormat="false" ht="15" hidden="false" customHeight="true" outlineLevel="0" collapsed="false">
      <c r="A341" s="21" t="str">
        <f aca="false">IF(C341="","",ROW()-1)</f>
        <v/>
      </c>
      <c r="B341" s="53"/>
      <c r="C341" s="22"/>
      <c r="D341" s="54" t="str">
        <f aca="false">IFERROR(VLOOKUP(C341,المخزن!$B$2:$H$201,2,FALSE()),"")</f>
        <v/>
      </c>
      <c r="E341" s="24"/>
      <c r="F341" s="26"/>
      <c r="G341" s="27" t="str">
        <f aca="false">IF(C341="","",E341*F341)</f>
        <v/>
      </c>
      <c r="H341" s="55" t="n">
        <f aca="false">IFERROR(VLOOKUP(C341,المخزن!$B$2:$H$201,7,FALSE()),0)</f>
        <v>0</v>
      </c>
      <c r="I341" s="27" t="str">
        <f aca="false">IF(C341="","",E341*H341)</f>
        <v/>
      </c>
    </row>
    <row r="342" customFormat="false" ht="15" hidden="false" customHeight="true" outlineLevel="0" collapsed="false">
      <c r="A342" s="21" t="str">
        <f aca="false">IF(C342="","",ROW()-1)</f>
        <v/>
      </c>
      <c r="B342" s="53"/>
      <c r="C342" s="22"/>
      <c r="D342" s="54" t="str">
        <f aca="false">IFERROR(VLOOKUP(C342,المخزن!$B$2:$H$201,2,FALSE()),"")</f>
        <v/>
      </c>
      <c r="E342" s="24"/>
      <c r="F342" s="26"/>
      <c r="G342" s="27" t="str">
        <f aca="false">IF(C342="","",E342*F342)</f>
        <v/>
      </c>
      <c r="H342" s="55" t="n">
        <f aca="false">IFERROR(VLOOKUP(C342,المخزن!$B$2:$H$201,7,FALSE()),0)</f>
        <v>0</v>
      </c>
      <c r="I342" s="27" t="str">
        <f aca="false">IF(C342="","",E342*H342)</f>
        <v/>
      </c>
    </row>
    <row r="343" customFormat="false" ht="15" hidden="false" customHeight="true" outlineLevel="0" collapsed="false">
      <c r="A343" s="21" t="str">
        <f aca="false">IF(C343="","",ROW()-1)</f>
        <v/>
      </c>
      <c r="B343" s="53"/>
      <c r="C343" s="22"/>
      <c r="D343" s="54" t="str">
        <f aca="false">IFERROR(VLOOKUP(C343,المخزن!$B$2:$H$201,2,FALSE()),"")</f>
        <v/>
      </c>
      <c r="E343" s="24"/>
      <c r="F343" s="26"/>
      <c r="G343" s="27" t="str">
        <f aca="false">IF(C343="","",E343*F343)</f>
        <v/>
      </c>
      <c r="H343" s="55" t="n">
        <f aca="false">IFERROR(VLOOKUP(C343,المخزن!$B$2:$H$201,7,FALSE()),0)</f>
        <v>0</v>
      </c>
      <c r="I343" s="27" t="str">
        <f aca="false">IF(C343="","",E343*H343)</f>
        <v/>
      </c>
    </row>
    <row r="344" customFormat="false" ht="15" hidden="false" customHeight="true" outlineLevel="0" collapsed="false">
      <c r="A344" s="21" t="str">
        <f aca="false">IF(C344="","",ROW()-1)</f>
        <v/>
      </c>
      <c r="B344" s="53"/>
      <c r="C344" s="22"/>
      <c r="D344" s="54" t="str">
        <f aca="false">IFERROR(VLOOKUP(C344,المخزن!$B$2:$H$201,2,FALSE()),"")</f>
        <v/>
      </c>
      <c r="E344" s="24"/>
      <c r="F344" s="26"/>
      <c r="G344" s="27" t="str">
        <f aca="false">IF(C344="","",E344*F344)</f>
        <v/>
      </c>
      <c r="H344" s="55" t="n">
        <f aca="false">IFERROR(VLOOKUP(C344,المخزن!$B$2:$H$201,7,FALSE()),0)</f>
        <v>0</v>
      </c>
      <c r="I344" s="27" t="str">
        <f aca="false">IF(C344="","",E344*H344)</f>
        <v/>
      </c>
    </row>
    <row r="345" customFormat="false" ht="15" hidden="false" customHeight="true" outlineLevel="0" collapsed="false">
      <c r="A345" s="21" t="str">
        <f aca="false">IF(C345="","",ROW()-1)</f>
        <v/>
      </c>
      <c r="B345" s="53"/>
      <c r="C345" s="22"/>
      <c r="D345" s="54" t="str">
        <f aca="false">IFERROR(VLOOKUP(C345,المخزن!$B$2:$H$201,2,FALSE()),"")</f>
        <v/>
      </c>
      <c r="E345" s="24"/>
      <c r="F345" s="26"/>
      <c r="G345" s="27" t="str">
        <f aca="false">IF(C345="","",E345*F345)</f>
        <v/>
      </c>
      <c r="H345" s="55" t="n">
        <f aca="false">IFERROR(VLOOKUP(C345,المخزن!$B$2:$H$201,7,FALSE()),0)</f>
        <v>0</v>
      </c>
      <c r="I345" s="27" t="str">
        <f aca="false">IF(C345="","",E345*H345)</f>
        <v/>
      </c>
    </row>
    <row r="346" customFormat="false" ht="15" hidden="false" customHeight="true" outlineLevel="0" collapsed="false">
      <c r="A346" s="21" t="str">
        <f aca="false">IF(C346="","",ROW()-1)</f>
        <v/>
      </c>
      <c r="B346" s="53"/>
      <c r="C346" s="22"/>
      <c r="D346" s="54" t="str">
        <f aca="false">IFERROR(VLOOKUP(C346,المخزن!$B$2:$H$201,2,FALSE()),"")</f>
        <v/>
      </c>
      <c r="E346" s="24"/>
      <c r="F346" s="26"/>
      <c r="G346" s="27" t="str">
        <f aca="false">IF(C346="","",E346*F346)</f>
        <v/>
      </c>
      <c r="H346" s="55" t="n">
        <f aca="false">IFERROR(VLOOKUP(C346,المخزن!$B$2:$H$201,7,FALSE()),0)</f>
        <v>0</v>
      </c>
      <c r="I346" s="27" t="str">
        <f aca="false">IF(C346="","",E346*H346)</f>
        <v/>
      </c>
    </row>
    <row r="347" customFormat="false" ht="15" hidden="false" customHeight="true" outlineLevel="0" collapsed="false">
      <c r="A347" s="21" t="str">
        <f aca="false">IF(C347="","",ROW()-1)</f>
        <v/>
      </c>
      <c r="B347" s="53"/>
      <c r="C347" s="22"/>
      <c r="D347" s="54" t="str">
        <f aca="false">IFERROR(VLOOKUP(C347,المخزن!$B$2:$H$201,2,FALSE()),"")</f>
        <v/>
      </c>
      <c r="E347" s="24"/>
      <c r="F347" s="26"/>
      <c r="G347" s="27" t="str">
        <f aca="false">IF(C347="","",E347*F347)</f>
        <v/>
      </c>
      <c r="H347" s="55" t="n">
        <f aca="false">IFERROR(VLOOKUP(C347,المخزن!$B$2:$H$201,7,FALSE()),0)</f>
        <v>0</v>
      </c>
      <c r="I347" s="27" t="str">
        <f aca="false">IF(C347="","",E347*H347)</f>
        <v/>
      </c>
    </row>
    <row r="348" customFormat="false" ht="15" hidden="false" customHeight="true" outlineLevel="0" collapsed="false">
      <c r="A348" s="21" t="str">
        <f aca="false">IF(C348="","",ROW()-1)</f>
        <v/>
      </c>
      <c r="B348" s="53"/>
      <c r="C348" s="22"/>
      <c r="D348" s="54" t="str">
        <f aca="false">IFERROR(VLOOKUP(C348,المخزن!$B$2:$H$201,2,FALSE()),"")</f>
        <v/>
      </c>
      <c r="E348" s="24"/>
      <c r="F348" s="26"/>
      <c r="G348" s="27" t="str">
        <f aca="false">IF(C348="","",E348*F348)</f>
        <v/>
      </c>
      <c r="H348" s="55" t="n">
        <f aca="false">IFERROR(VLOOKUP(C348,المخزن!$B$2:$H$201,7,FALSE()),0)</f>
        <v>0</v>
      </c>
      <c r="I348" s="27" t="str">
        <f aca="false">IF(C348="","",E348*H348)</f>
        <v/>
      </c>
    </row>
    <row r="349" customFormat="false" ht="15" hidden="false" customHeight="true" outlineLevel="0" collapsed="false">
      <c r="A349" s="21" t="str">
        <f aca="false">IF(C349="","",ROW()-1)</f>
        <v/>
      </c>
      <c r="B349" s="53"/>
      <c r="C349" s="22"/>
      <c r="D349" s="54" t="str">
        <f aca="false">IFERROR(VLOOKUP(C349,المخزن!$B$2:$H$201,2,FALSE()),"")</f>
        <v/>
      </c>
      <c r="E349" s="24"/>
      <c r="F349" s="26"/>
      <c r="G349" s="27" t="str">
        <f aca="false">IF(C349="","",E349*F349)</f>
        <v/>
      </c>
      <c r="H349" s="55" t="n">
        <f aca="false">IFERROR(VLOOKUP(C349,المخزن!$B$2:$H$201,7,FALSE()),0)</f>
        <v>0</v>
      </c>
      <c r="I349" s="27" t="str">
        <f aca="false">IF(C349="","",E349*H349)</f>
        <v/>
      </c>
    </row>
    <row r="350" customFormat="false" ht="15" hidden="false" customHeight="true" outlineLevel="0" collapsed="false">
      <c r="A350" s="21" t="str">
        <f aca="false">IF(C350="","",ROW()-1)</f>
        <v/>
      </c>
      <c r="B350" s="53"/>
      <c r="C350" s="22"/>
      <c r="D350" s="54" t="str">
        <f aca="false">IFERROR(VLOOKUP(C350,المخزن!$B$2:$H$201,2,FALSE()),"")</f>
        <v/>
      </c>
      <c r="E350" s="24"/>
      <c r="F350" s="26"/>
      <c r="G350" s="27" t="str">
        <f aca="false">IF(C350="","",E350*F350)</f>
        <v/>
      </c>
      <c r="H350" s="55" t="n">
        <f aca="false">IFERROR(VLOOKUP(C350,المخزن!$B$2:$H$201,7,FALSE()),0)</f>
        <v>0</v>
      </c>
      <c r="I350" s="27" t="str">
        <f aca="false">IF(C350="","",E350*H350)</f>
        <v/>
      </c>
    </row>
    <row r="351" customFormat="false" ht="15" hidden="false" customHeight="true" outlineLevel="0" collapsed="false">
      <c r="A351" s="21" t="str">
        <f aca="false">IF(C351="","",ROW()-1)</f>
        <v/>
      </c>
      <c r="B351" s="53"/>
      <c r="C351" s="22"/>
      <c r="D351" s="54" t="str">
        <f aca="false">IFERROR(VLOOKUP(C351,المخزن!$B$2:$H$201,2,FALSE()),"")</f>
        <v/>
      </c>
      <c r="E351" s="24"/>
      <c r="F351" s="26"/>
      <c r="G351" s="27" t="str">
        <f aca="false">IF(C351="","",E351*F351)</f>
        <v/>
      </c>
      <c r="H351" s="55" t="n">
        <f aca="false">IFERROR(VLOOKUP(C351,المخزن!$B$2:$H$201,7,FALSE()),0)</f>
        <v>0</v>
      </c>
      <c r="I351" s="27" t="str">
        <f aca="false">IF(C351="","",E351*H351)</f>
        <v/>
      </c>
    </row>
    <row r="352" customFormat="false" ht="15" hidden="false" customHeight="true" outlineLevel="0" collapsed="false">
      <c r="A352" s="21" t="str">
        <f aca="false">IF(C352="","",ROW()-1)</f>
        <v/>
      </c>
      <c r="B352" s="53"/>
      <c r="C352" s="22"/>
      <c r="D352" s="54" t="str">
        <f aca="false">IFERROR(VLOOKUP(C352,المخزن!$B$2:$H$201,2,FALSE()),"")</f>
        <v/>
      </c>
      <c r="E352" s="24"/>
      <c r="F352" s="26"/>
      <c r="G352" s="27" t="str">
        <f aca="false">IF(C352="","",E352*F352)</f>
        <v/>
      </c>
      <c r="H352" s="55" t="n">
        <f aca="false">IFERROR(VLOOKUP(C352,المخزن!$B$2:$H$201,7,FALSE()),0)</f>
        <v>0</v>
      </c>
      <c r="I352" s="27" t="str">
        <f aca="false">IF(C352="","",E352*H352)</f>
        <v/>
      </c>
    </row>
    <row r="353" customFormat="false" ht="15" hidden="false" customHeight="true" outlineLevel="0" collapsed="false">
      <c r="A353" s="21" t="str">
        <f aca="false">IF(C353="","",ROW()-1)</f>
        <v/>
      </c>
      <c r="B353" s="53"/>
      <c r="C353" s="22"/>
      <c r="D353" s="54" t="str">
        <f aca="false">IFERROR(VLOOKUP(C353,المخزن!$B$2:$H$201,2,FALSE()),"")</f>
        <v/>
      </c>
      <c r="E353" s="24"/>
      <c r="F353" s="26"/>
      <c r="G353" s="27" t="str">
        <f aca="false">IF(C353="","",E353*F353)</f>
        <v/>
      </c>
      <c r="H353" s="55" t="n">
        <f aca="false">IFERROR(VLOOKUP(C353,المخزن!$B$2:$H$201,7,FALSE()),0)</f>
        <v>0</v>
      </c>
      <c r="I353" s="27" t="str">
        <f aca="false">IF(C353="","",E353*H353)</f>
        <v/>
      </c>
    </row>
    <row r="354" customFormat="false" ht="15" hidden="false" customHeight="true" outlineLevel="0" collapsed="false">
      <c r="A354" s="21" t="str">
        <f aca="false">IF(C354="","",ROW()-1)</f>
        <v/>
      </c>
      <c r="B354" s="53"/>
      <c r="C354" s="22"/>
      <c r="D354" s="54" t="str">
        <f aca="false">IFERROR(VLOOKUP(C354,المخزن!$B$2:$H$201,2,FALSE()),"")</f>
        <v/>
      </c>
      <c r="E354" s="24"/>
      <c r="F354" s="26"/>
      <c r="G354" s="27" t="str">
        <f aca="false">IF(C354="","",E354*F354)</f>
        <v/>
      </c>
      <c r="H354" s="55" t="n">
        <f aca="false">IFERROR(VLOOKUP(C354,المخزن!$B$2:$H$201,7,FALSE()),0)</f>
        <v>0</v>
      </c>
      <c r="I354" s="27" t="str">
        <f aca="false">IF(C354="","",E354*H354)</f>
        <v/>
      </c>
    </row>
    <row r="355" customFormat="false" ht="15" hidden="false" customHeight="true" outlineLevel="0" collapsed="false">
      <c r="A355" s="21" t="str">
        <f aca="false">IF(C355="","",ROW()-1)</f>
        <v/>
      </c>
      <c r="B355" s="53"/>
      <c r="C355" s="22"/>
      <c r="D355" s="54" t="str">
        <f aca="false">IFERROR(VLOOKUP(C355,المخزن!$B$2:$H$201,2,FALSE()),"")</f>
        <v/>
      </c>
      <c r="E355" s="24"/>
      <c r="F355" s="26"/>
      <c r="G355" s="27" t="str">
        <f aca="false">IF(C355="","",E355*F355)</f>
        <v/>
      </c>
      <c r="H355" s="55" t="n">
        <f aca="false">IFERROR(VLOOKUP(C355,المخزن!$B$2:$H$201,7,FALSE()),0)</f>
        <v>0</v>
      </c>
      <c r="I355" s="27" t="str">
        <f aca="false">IF(C355="","",E355*H355)</f>
        <v/>
      </c>
    </row>
    <row r="356" customFormat="false" ht="15" hidden="false" customHeight="true" outlineLevel="0" collapsed="false">
      <c r="A356" s="21" t="str">
        <f aca="false">IF(C356="","",ROW()-1)</f>
        <v/>
      </c>
      <c r="B356" s="53"/>
      <c r="C356" s="22"/>
      <c r="D356" s="54" t="str">
        <f aca="false">IFERROR(VLOOKUP(C356,المخزن!$B$2:$H$201,2,FALSE()),"")</f>
        <v/>
      </c>
      <c r="E356" s="24"/>
      <c r="F356" s="26"/>
      <c r="G356" s="27" t="str">
        <f aca="false">IF(C356="","",E356*F356)</f>
        <v/>
      </c>
      <c r="H356" s="55" t="n">
        <f aca="false">IFERROR(VLOOKUP(C356,المخزن!$B$2:$H$201,7,FALSE()),0)</f>
        <v>0</v>
      </c>
      <c r="I356" s="27" t="str">
        <f aca="false">IF(C356="","",E356*H356)</f>
        <v/>
      </c>
    </row>
    <row r="357" customFormat="false" ht="15" hidden="false" customHeight="true" outlineLevel="0" collapsed="false">
      <c r="A357" s="21" t="str">
        <f aca="false">IF(C357="","",ROW()-1)</f>
        <v/>
      </c>
      <c r="B357" s="53"/>
      <c r="C357" s="22"/>
      <c r="D357" s="54" t="str">
        <f aca="false">IFERROR(VLOOKUP(C357,المخزن!$B$2:$H$201,2,FALSE()),"")</f>
        <v/>
      </c>
      <c r="E357" s="24"/>
      <c r="F357" s="26"/>
      <c r="G357" s="27" t="str">
        <f aca="false">IF(C357="","",E357*F357)</f>
        <v/>
      </c>
      <c r="H357" s="55" t="n">
        <f aca="false">IFERROR(VLOOKUP(C357,المخزن!$B$2:$H$201,7,FALSE()),0)</f>
        <v>0</v>
      </c>
      <c r="I357" s="27" t="str">
        <f aca="false">IF(C357="","",E357*H357)</f>
        <v/>
      </c>
    </row>
    <row r="358" customFormat="false" ht="15" hidden="false" customHeight="true" outlineLevel="0" collapsed="false">
      <c r="A358" s="21" t="str">
        <f aca="false">IF(C358="","",ROW()-1)</f>
        <v/>
      </c>
      <c r="B358" s="53"/>
      <c r="C358" s="22"/>
      <c r="D358" s="54" t="str">
        <f aca="false">IFERROR(VLOOKUP(C358,المخزن!$B$2:$H$201,2,FALSE()),"")</f>
        <v/>
      </c>
      <c r="E358" s="24"/>
      <c r="F358" s="26"/>
      <c r="G358" s="27" t="str">
        <f aca="false">IF(C358="","",E358*F358)</f>
        <v/>
      </c>
      <c r="H358" s="55" t="n">
        <f aca="false">IFERROR(VLOOKUP(C358,المخزن!$B$2:$H$201,7,FALSE()),0)</f>
        <v>0</v>
      </c>
      <c r="I358" s="27" t="str">
        <f aca="false">IF(C358="","",E358*H358)</f>
        <v/>
      </c>
    </row>
    <row r="359" customFormat="false" ht="15" hidden="false" customHeight="true" outlineLevel="0" collapsed="false">
      <c r="A359" s="21" t="str">
        <f aca="false">IF(C359="","",ROW()-1)</f>
        <v/>
      </c>
      <c r="B359" s="53"/>
      <c r="C359" s="22"/>
      <c r="D359" s="54" t="str">
        <f aca="false">IFERROR(VLOOKUP(C359,المخزن!$B$2:$H$201,2,FALSE()),"")</f>
        <v/>
      </c>
      <c r="E359" s="24"/>
      <c r="F359" s="26"/>
      <c r="G359" s="27" t="str">
        <f aca="false">IF(C359="","",E359*F359)</f>
        <v/>
      </c>
      <c r="H359" s="55" t="n">
        <f aca="false">IFERROR(VLOOKUP(C359,المخزن!$B$2:$H$201,7,FALSE()),0)</f>
        <v>0</v>
      </c>
      <c r="I359" s="27" t="str">
        <f aca="false">IF(C359="","",E359*H359)</f>
        <v/>
      </c>
    </row>
    <row r="360" customFormat="false" ht="15" hidden="false" customHeight="true" outlineLevel="0" collapsed="false">
      <c r="A360" s="21" t="str">
        <f aca="false">IF(C360="","",ROW()-1)</f>
        <v/>
      </c>
      <c r="B360" s="53"/>
      <c r="C360" s="22"/>
      <c r="D360" s="54" t="str">
        <f aca="false">IFERROR(VLOOKUP(C360,المخزن!$B$2:$H$201,2,FALSE()),"")</f>
        <v/>
      </c>
      <c r="E360" s="24"/>
      <c r="F360" s="26"/>
      <c r="G360" s="27" t="str">
        <f aca="false">IF(C360="","",E360*F360)</f>
        <v/>
      </c>
      <c r="H360" s="55" t="n">
        <f aca="false">IFERROR(VLOOKUP(C360,المخزن!$B$2:$H$201,7,FALSE()),0)</f>
        <v>0</v>
      </c>
      <c r="I360" s="27" t="str">
        <f aca="false">IF(C360="","",E360*H360)</f>
        <v/>
      </c>
    </row>
    <row r="361" customFormat="false" ht="15" hidden="false" customHeight="true" outlineLevel="0" collapsed="false">
      <c r="A361" s="21" t="str">
        <f aca="false">IF(C361="","",ROW()-1)</f>
        <v/>
      </c>
      <c r="B361" s="53"/>
      <c r="C361" s="22"/>
      <c r="D361" s="54" t="str">
        <f aca="false">IFERROR(VLOOKUP(C361,المخزن!$B$2:$H$201,2,FALSE()),"")</f>
        <v/>
      </c>
      <c r="E361" s="24"/>
      <c r="F361" s="26"/>
      <c r="G361" s="27" t="str">
        <f aca="false">IF(C361="","",E361*F361)</f>
        <v/>
      </c>
      <c r="H361" s="55" t="n">
        <f aca="false">IFERROR(VLOOKUP(C361,المخزن!$B$2:$H$201,7,FALSE()),0)</f>
        <v>0</v>
      </c>
      <c r="I361" s="27" t="str">
        <f aca="false">IF(C361="","",E361*H361)</f>
        <v/>
      </c>
    </row>
    <row r="362" customFormat="false" ht="15" hidden="false" customHeight="true" outlineLevel="0" collapsed="false">
      <c r="A362" s="21" t="str">
        <f aca="false">IF(C362="","",ROW()-1)</f>
        <v/>
      </c>
      <c r="B362" s="53"/>
      <c r="C362" s="22"/>
      <c r="D362" s="54" t="str">
        <f aca="false">IFERROR(VLOOKUP(C362,المخزن!$B$2:$H$201,2,FALSE()),"")</f>
        <v/>
      </c>
      <c r="E362" s="24"/>
      <c r="F362" s="26"/>
      <c r="G362" s="27" t="str">
        <f aca="false">IF(C362="","",E362*F362)</f>
        <v/>
      </c>
      <c r="H362" s="55" t="n">
        <f aca="false">IFERROR(VLOOKUP(C362,المخزن!$B$2:$H$201,7,FALSE()),0)</f>
        <v>0</v>
      </c>
      <c r="I362" s="27" t="str">
        <f aca="false">IF(C362="","",E362*H362)</f>
        <v/>
      </c>
    </row>
    <row r="363" customFormat="false" ht="15" hidden="false" customHeight="true" outlineLevel="0" collapsed="false">
      <c r="A363" s="21" t="str">
        <f aca="false">IF(C363="","",ROW()-1)</f>
        <v/>
      </c>
      <c r="B363" s="53"/>
      <c r="C363" s="22"/>
      <c r="D363" s="54" t="str">
        <f aca="false">IFERROR(VLOOKUP(C363,المخزن!$B$2:$H$201,2,FALSE()),"")</f>
        <v/>
      </c>
      <c r="E363" s="24"/>
      <c r="F363" s="26"/>
      <c r="G363" s="27" t="str">
        <f aca="false">IF(C363="","",E363*F363)</f>
        <v/>
      </c>
      <c r="H363" s="55" t="n">
        <f aca="false">IFERROR(VLOOKUP(C363,المخزن!$B$2:$H$201,7,FALSE()),0)</f>
        <v>0</v>
      </c>
      <c r="I363" s="27" t="str">
        <f aca="false">IF(C363="","",E363*H363)</f>
        <v/>
      </c>
    </row>
    <row r="364" customFormat="false" ht="15" hidden="false" customHeight="true" outlineLevel="0" collapsed="false">
      <c r="A364" s="21" t="str">
        <f aca="false">IF(C364="","",ROW()-1)</f>
        <v/>
      </c>
      <c r="B364" s="53"/>
      <c r="C364" s="22"/>
      <c r="D364" s="54" t="str">
        <f aca="false">IFERROR(VLOOKUP(C364,المخزن!$B$2:$H$201,2,FALSE()),"")</f>
        <v/>
      </c>
      <c r="E364" s="24"/>
      <c r="F364" s="26"/>
      <c r="G364" s="27" t="str">
        <f aca="false">IF(C364="","",E364*F364)</f>
        <v/>
      </c>
      <c r="H364" s="55" t="n">
        <f aca="false">IFERROR(VLOOKUP(C364,المخزن!$B$2:$H$201,7,FALSE()),0)</f>
        <v>0</v>
      </c>
      <c r="I364" s="27" t="str">
        <f aca="false">IF(C364="","",E364*H364)</f>
        <v/>
      </c>
    </row>
    <row r="365" customFormat="false" ht="15" hidden="false" customHeight="true" outlineLevel="0" collapsed="false">
      <c r="A365" s="21" t="str">
        <f aca="false">IF(C365="","",ROW()-1)</f>
        <v/>
      </c>
      <c r="B365" s="53"/>
      <c r="C365" s="22"/>
      <c r="D365" s="54" t="str">
        <f aca="false">IFERROR(VLOOKUP(C365,المخزن!$B$2:$H$201,2,FALSE()),"")</f>
        <v/>
      </c>
      <c r="E365" s="24"/>
      <c r="F365" s="26"/>
      <c r="G365" s="27" t="str">
        <f aca="false">IF(C365="","",E365*F365)</f>
        <v/>
      </c>
      <c r="H365" s="55" t="n">
        <f aca="false">IFERROR(VLOOKUP(C365,المخزن!$B$2:$H$201,7,FALSE()),0)</f>
        <v>0</v>
      </c>
      <c r="I365" s="27" t="str">
        <f aca="false">IF(C365="","",E365*H365)</f>
        <v/>
      </c>
    </row>
    <row r="366" customFormat="false" ht="15" hidden="false" customHeight="true" outlineLevel="0" collapsed="false">
      <c r="A366" s="21" t="str">
        <f aca="false">IF(C366="","",ROW()-1)</f>
        <v/>
      </c>
      <c r="B366" s="53"/>
      <c r="C366" s="22"/>
      <c r="D366" s="54" t="str">
        <f aca="false">IFERROR(VLOOKUP(C366,المخزن!$B$2:$H$201,2,FALSE()),"")</f>
        <v/>
      </c>
      <c r="E366" s="24"/>
      <c r="F366" s="26"/>
      <c r="G366" s="27" t="str">
        <f aca="false">IF(C366="","",E366*F366)</f>
        <v/>
      </c>
      <c r="H366" s="55" t="n">
        <f aca="false">IFERROR(VLOOKUP(C366,المخزن!$B$2:$H$201,7,FALSE()),0)</f>
        <v>0</v>
      </c>
      <c r="I366" s="27" t="str">
        <f aca="false">IF(C366="","",E366*H366)</f>
        <v/>
      </c>
    </row>
    <row r="367" customFormat="false" ht="15" hidden="false" customHeight="true" outlineLevel="0" collapsed="false">
      <c r="A367" s="21" t="str">
        <f aca="false">IF(C367="","",ROW()-1)</f>
        <v/>
      </c>
      <c r="B367" s="53"/>
      <c r="C367" s="22"/>
      <c r="D367" s="54" t="str">
        <f aca="false">IFERROR(VLOOKUP(C367,المخزن!$B$2:$H$201,2,FALSE()),"")</f>
        <v/>
      </c>
      <c r="E367" s="24"/>
      <c r="F367" s="26"/>
      <c r="G367" s="27" t="str">
        <f aca="false">IF(C367="","",E367*F367)</f>
        <v/>
      </c>
      <c r="H367" s="55" t="n">
        <f aca="false">IFERROR(VLOOKUP(C367,المخزن!$B$2:$H$201,7,FALSE()),0)</f>
        <v>0</v>
      </c>
      <c r="I367" s="27" t="str">
        <f aca="false">IF(C367="","",E367*H367)</f>
        <v/>
      </c>
    </row>
    <row r="368" customFormat="false" ht="15" hidden="false" customHeight="true" outlineLevel="0" collapsed="false">
      <c r="A368" s="21" t="str">
        <f aca="false">IF(C368="","",ROW()-1)</f>
        <v/>
      </c>
      <c r="B368" s="53"/>
      <c r="C368" s="22"/>
      <c r="D368" s="54" t="str">
        <f aca="false">IFERROR(VLOOKUP(C368,المخزن!$B$2:$H$201,2,FALSE()),"")</f>
        <v/>
      </c>
      <c r="E368" s="24"/>
      <c r="F368" s="26"/>
      <c r="G368" s="27" t="str">
        <f aca="false">IF(C368="","",E368*F368)</f>
        <v/>
      </c>
      <c r="H368" s="55" t="n">
        <f aca="false">IFERROR(VLOOKUP(C368,المخزن!$B$2:$H$201,7,FALSE()),0)</f>
        <v>0</v>
      </c>
      <c r="I368" s="27" t="str">
        <f aca="false">IF(C368="","",E368*H368)</f>
        <v/>
      </c>
    </row>
    <row r="369" customFormat="false" ht="15" hidden="false" customHeight="true" outlineLevel="0" collapsed="false">
      <c r="A369" s="21" t="str">
        <f aca="false">IF(C369="","",ROW()-1)</f>
        <v/>
      </c>
      <c r="B369" s="53"/>
      <c r="C369" s="22"/>
      <c r="D369" s="54" t="str">
        <f aca="false">IFERROR(VLOOKUP(C369,المخزن!$B$2:$H$201,2,FALSE()),"")</f>
        <v/>
      </c>
      <c r="E369" s="24"/>
      <c r="F369" s="26"/>
      <c r="G369" s="27" t="str">
        <f aca="false">IF(C369="","",E369*F369)</f>
        <v/>
      </c>
      <c r="H369" s="55" t="n">
        <f aca="false">IFERROR(VLOOKUP(C369,المخزن!$B$2:$H$201,7,FALSE()),0)</f>
        <v>0</v>
      </c>
      <c r="I369" s="27" t="str">
        <f aca="false">IF(C369="","",E369*H369)</f>
        <v/>
      </c>
    </row>
    <row r="370" customFormat="false" ht="15" hidden="false" customHeight="true" outlineLevel="0" collapsed="false">
      <c r="A370" s="21" t="str">
        <f aca="false">IF(C370="","",ROW()-1)</f>
        <v/>
      </c>
      <c r="B370" s="53"/>
      <c r="C370" s="22"/>
      <c r="D370" s="54" t="str">
        <f aca="false">IFERROR(VLOOKUP(C370,المخزن!$B$2:$H$201,2,FALSE()),"")</f>
        <v/>
      </c>
      <c r="E370" s="24"/>
      <c r="F370" s="26"/>
      <c r="G370" s="27" t="str">
        <f aca="false">IF(C370="","",E370*F370)</f>
        <v/>
      </c>
      <c r="H370" s="55" t="n">
        <f aca="false">IFERROR(VLOOKUP(C370,المخزن!$B$2:$H$201,7,FALSE()),0)</f>
        <v>0</v>
      </c>
      <c r="I370" s="27" t="str">
        <f aca="false">IF(C370="","",E370*H370)</f>
        <v/>
      </c>
    </row>
    <row r="371" customFormat="false" ht="15" hidden="false" customHeight="true" outlineLevel="0" collapsed="false">
      <c r="A371" s="21" t="str">
        <f aca="false">IF(C371="","",ROW()-1)</f>
        <v/>
      </c>
      <c r="B371" s="53"/>
      <c r="C371" s="22"/>
      <c r="D371" s="54" t="str">
        <f aca="false">IFERROR(VLOOKUP(C371,المخزن!$B$2:$H$201,2,FALSE()),"")</f>
        <v/>
      </c>
      <c r="E371" s="24"/>
      <c r="F371" s="26"/>
      <c r="G371" s="27" t="str">
        <f aca="false">IF(C371="","",E371*F371)</f>
        <v/>
      </c>
      <c r="H371" s="55" t="n">
        <f aca="false">IFERROR(VLOOKUP(C371,المخزن!$B$2:$H$201,7,FALSE()),0)</f>
        <v>0</v>
      </c>
      <c r="I371" s="27" t="str">
        <f aca="false">IF(C371="","",E371*H371)</f>
        <v/>
      </c>
    </row>
    <row r="372" customFormat="false" ht="15" hidden="false" customHeight="true" outlineLevel="0" collapsed="false">
      <c r="A372" s="21" t="str">
        <f aca="false">IF(C372="","",ROW()-1)</f>
        <v/>
      </c>
      <c r="B372" s="53"/>
      <c r="C372" s="22"/>
      <c r="D372" s="54" t="str">
        <f aca="false">IFERROR(VLOOKUP(C372,المخزن!$B$2:$H$201,2,FALSE()),"")</f>
        <v/>
      </c>
      <c r="E372" s="24"/>
      <c r="F372" s="26"/>
      <c r="G372" s="27" t="str">
        <f aca="false">IF(C372="","",E372*F372)</f>
        <v/>
      </c>
      <c r="H372" s="55" t="n">
        <f aca="false">IFERROR(VLOOKUP(C372,المخزن!$B$2:$H$201,7,FALSE()),0)</f>
        <v>0</v>
      </c>
      <c r="I372" s="27" t="str">
        <f aca="false">IF(C372="","",E372*H372)</f>
        <v/>
      </c>
    </row>
    <row r="373" customFormat="false" ht="15" hidden="false" customHeight="true" outlineLevel="0" collapsed="false">
      <c r="A373" s="21" t="str">
        <f aca="false">IF(C373="","",ROW()-1)</f>
        <v/>
      </c>
      <c r="B373" s="53"/>
      <c r="C373" s="22"/>
      <c r="D373" s="54" t="str">
        <f aca="false">IFERROR(VLOOKUP(C373,المخزن!$B$2:$H$201,2,FALSE()),"")</f>
        <v/>
      </c>
      <c r="E373" s="24"/>
      <c r="F373" s="26"/>
      <c r="G373" s="27" t="str">
        <f aca="false">IF(C373="","",E373*F373)</f>
        <v/>
      </c>
      <c r="H373" s="55" t="n">
        <f aca="false">IFERROR(VLOOKUP(C373,المخزن!$B$2:$H$201,7,FALSE()),0)</f>
        <v>0</v>
      </c>
      <c r="I373" s="27" t="str">
        <f aca="false">IF(C373="","",E373*H373)</f>
        <v/>
      </c>
    </row>
    <row r="374" customFormat="false" ht="15" hidden="false" customHeight="true" outlineLevel="0" collapsed="false">
      <c r="A374" s="21" t="str">
        <f aca="false">IF(C374="","",ROW()-1)</f>
        <v/>
      </c>
      <c r="B374" s="53"/>
      <c r="C374" s="22"/>
      <c r="D374" s="54" t="str">
        <f aca="false">IFERROR(VLOOKUP(C374,المخزن!$B$2:$H$201,2,FALSE()),"")</f>
        <v/>
      </c>
      <c r="E374" s="24"/>
      <c r="F374" s="26"/>
      <c r="G374" s="27" t="str">
        <f aca="false">IF(C374="","",E374*F374)</f>
        <v/>
      </c>
      <c r="H374" s="55" t="n">
        <f aca="false">IFERROR(VLOOKUP(C374,المخزن!$B$2:$H$201,7,FALSE()),0)</f>
        <v>0</v>
      </c>
      <c r="I374" s="27" t="str">
        <f aca="false">IF(C374="","",E374*H374)</f>
        <v/>
      </c>
    </row>
    <row r="375" customFormat="false" ht="15" hidden="false" customHeight="true" outlineLevel="0" collapsed="false">
      <c r="A375" s="21" t="str">
        <f aca="false">IF(C375="","",ROW()-1)</f>
        <v/>
      </c>
      <c r="B375" s="53"/>
      <c r="C375" s="22"/>
      <c r="D375" s="54" t="str">
        <f aca="false">IFERROR(VLOOKUP(C375,المخزن!$B$2:$H$201,2,FALSE()),"")</f>
        <v/>
      </c>
      <c r="E375" s="24"/>
      <c r="F375" s="26"/>
      <c r="G375" s="27" t="str">
        <f aca="false">IF(C375="","",E375*F375)</f>
        <v/>
      </c>
      <c r="H375" s="55" t="n">
        <f aca="false">IFERROR(VLOOKUP(C375,المخزن!$B$2:$H$201,7,FALSE()),0)</f>
        <v>0</v>
      </c>
      <c r="I375" s="27" t="str">
        <f aca="false">IF(C375="","",E375*H375)</f>
        <v/>
      </c>
    </row>
    <row r="376" customFormat="false" ht="15" hidden="false" customHeight="true" outlineLevel="0" collapsed="false">
      <c r="A376" s="21" t="str">
        <f aca="false">IF(C376="","",ROW()-1)</f>
        <v/>
      </c>
      <c r="B376" s="53"/>
      <c r="C376" s="22"/>
      <c r="D376" s="54" t="str">
        <f aca="false">IFERROR(VLOOKUP(C376,المخزن!$B$2:$H$201,2,FALSE()),"")</f>
        <v/>
      </c>
      <c r="E376" s="24"/>
      <c r="F376" s="26"/>
      <c r="G376" s="27" t="str">
        <f aca="false">IF(C376="","",E376*F376)</f>
        <v/>
      </c>
      <c r="H376" s="55" t="n">
        <f aca="false">IFERROR(VLOOKUP(C376,المخزن!$B$2:$H$201,7,FALSE()),0)</f>
        <v>0</v>
      </c>
      <c r="I376" s="27" t="str">
        <f aca="false">IF(C376="","",E376*H376)</f>
        <v/>
      </c>
    </row>
    <row r="377" customFormat="false" ht="15" hidden="false" customHeight="true" outlineLevel="0" collapsed="false">
      <c r="A377" s="21" t="str">
        <f aca="false">IF(C377="","",ROW()-1)</f>
        <v/>
      </c>
      <c r="B377" s="53"/>
      <c r="C377" s="22"/>
      <c r="D377" s="54" t="str">
        <f aca="false">IFERROR(VLOOKUP(C377,المخزن!$B$2:$H$201,2,FALSE()),"")</f>
        <v/>
      </c>
      <c r="E377" s="24"/>
      <c r="F377" s="26"/>
      <c r="G377" s="27" t="str">
        <f aca="false">IF(C377="","",E377*F377)</f>
        <v/>
      </c>
      <c r="H377" s="55" t="n">
        <f aca="false">IFERROR(VLOOKUP(C377,المخزن!$B$2:$H$201,7,FALSE()),0)</f>
        <v>0</v>
      </c>
      <c r="I377" s="27" t="str">
        <f aca="false">IF(C377="","",E377*H377)</f>
        <v/>
      </c>
    </row>
    <row r="378" customFormat="false" ht="15" hidden="false" customHeight="true" outlineLevel="0" collapsed="false">
      <c r="A378" s="21" t="str">
        <f aca="false">IF(C378="","",ROW()-1)</f>
        <v/>
      </c>
      <c r="B378" s="53"/>
      <c r="C378" s="22"/>
      <c r="D378" s="54" t="str">
        <f aca="false">IFERROR(VLOOKUP(C378,المخزن!$B$2:$H$201,2,FALSE()),"")</f>
        <v/>
      </c>
      <c r="E378" s="24"/>
      <c r="F378" s="26"/>
      <c r="G378" s="27" t="str">
        <f aca="false">IF(C378="","",E378*F378)</f>
        <v/>
      </c>
      <c r="H378" s="55" t="n">
        <f aca="false">IFERROR(VLOOKUP(C378,المخزن!$B$2:$H$201,7,FALSE()),0)</f>
        <v>0</v>
      </c>
      <c r="I378" s="27" t="str">
        <f aca="false">IF(C378="","",E378*H378)</f>
        <v/>
      </c>
    </row>
    <row r="379" customFormat="false" ht="15" hidden="false" customHeight="true" outlineLevel="0" collapsed="false">
      <c r="A379" s="21" t="str">
        <f aca="false">IF(C379="","",ROW()-1)</f>
        <v/>
      </c>
      <c r="B379" s="53"/>
      <c r="C379" s="22"/>
      <c r="D379" s="54" t="str">
        <f aca="false">IFERROR(VLOOKUP(C379,المخزن!$B$2:$H$201,2,FALSE()),"")</f>
        <v/>
      </c>
      <c r="E379" s="24"/>
      <c r="F379" s="26"/>
      <c r="G379" s="27" t="str">
        <f aca="false">IF(C379="","",E379*F379)</f>
        <v/>
      </c>
      <c r="H379" s="55" t="n">
        <f aca="false">IFERROR(VLOOKUP(C379,المخزن!$B$2:$H$201,7,FALSE()),0)</f>
        <v>0</v>
      </c>
      <c r="I379" s="27" t="str">
        <f aca="false">IF(C379="","",E379*H379)</f>
        <v/>
      </c>
    </row>
    <row r="380" customFormat="false" ht="15" hidden="false" customHeight="true" outlineLevel="0" collapsed="false">
      <c r="A380" s="21" t="str">
        <f aca="false">IF(C380="","",ROW()-1)</f>
        <v/>
      </c>
      <c r="B380" s="53"/>
      <c r="C380" s="22"/>
      <c r="D380" s="54" t="str">
        <f aca="false">IFERROR(VLOOKUP(C380,المخزن!$B$2:$H$201,2,FALSE()),"")</f>
        <v/>
      </c>
      <c r="E380" s="24"/>
      <c r="F380" s="26"/>
      <c r="G380" s="27" t="str">
        <f aca="false">IF(C380="","",E380*F380)</f>
        <v/>
      </c>
      <c r="H380" s="55" t="n">
        <f aca="false">IFERROR(VLOOKUP(C380,المخزن!$B$2:$H$201,7,FALSE()),0)</f>
        <v>0</v>
      </c>
      <c r="I380" s="27" t="str">
        <f aca="false">IF(C380="","",E380*H380)</f>
        <v/>
      </c>
    </row>
    <row r="381" customFormat="false" ht="15" hidden="false" customHeight="true" outlineLevel="0" collapsed="false">
      <c r="A381" s="21" t="str">
        <f aca="false">IF(C381="","",ROW()-1)</f>
        <v/>
      </c>
      <c r="B381" s="53"/>
      <c r="C381" s="22"/>
      <c r="D381" s="54" t="str">
        <f aca="false">IFERROR(VLOOKUP(C381,المخزن!$B$2:$H$201,2,FALSE()),"")</f>
        <v/>
      </c>
      <c r="E381" s="24"/>
      <c r="F381" s="26"/>
      <c r="G381" s="27" t="str">
        <f aca="false">IF(C381="","",E381*F381)</f>
        <v/>
      </c>
      <c r="H381" s="55" t="n">
        <f aca="false">IFERROR(VLOOKUP(C381,المخزن!$B$2:$H$201,7,FALSE()),0)</f>
        <v>0</v>
      </c>
      <c r="I381" s="27" t="str">
        <f aca="false">IF(C381="","",E381*H381)</f>
        <v/>
      </c>
    </row>
    <row r="382" customFormat="false" ht="15" hidden="false" customHeight="true" outlineLevel="0" collapsed="false">
      <c r="A382" s="21" t="str">
        <f aca="false">IF(C382="","",ROW()-1)</f>
        <v/>
      </c>
      <c r="B382" s="53"/>
      <c r="C382" s="22"/>
      <c r="D382" s="54" t="str">
        <f aca="false">IFERROR(VLOOKUP(C382,المخزن!$B$2:$H$201,2,FALSE()),"")</f>
        <v/>
      </c>
      <c r="E382" s="24"/>
      <c r="F382" s="26"/>
      <c r="G382" s="27" t="str">
        <f aca="false">IF(C382="","",E382*F382)</f>
        <v/>
      </c>
      <c r="H382" s="55" t="n">
        <f aca="false">IFERROR(VLOOKUP(C382,المخزن!$B$2:$H$201,7,FALSE()),0)</f>
        <v>0</v>
      </c>
      <c r="I382" s="27" t="str">
        <f aca="false">IF(C382="","",E382*H382)</f>
        <v/>
      </c>
    </row>
    <row r="383" customFormat="false" ht="15" hidden="false" customHeight="true" outlineLevel="0" collapsed="false">
      <c r="A383" s="21" t="str">
        <f aca="false">IF(C383="","",ROW()-1)</f>
        <v/>
      </c>
      <c r="B383" s="53"/>
      <c r="C383" s="22"/>
      <c r="D383" s="54" t="str">
        <f aca="false">IFERROR(VLOOKUP(C383,المخزن!$B$2:$H$201,2,FALSE()),"")</f>
        <v/>
      </c>
      <c r="E383" s="24"/>
      <c r="F383" s="26"/>
      <c r="G383" s="27" t="str">
        <f aca="false">IF(C383="","",E383*F383)</f>
        <v/>
      </c>
      <c r="H383" s="55" t="n">
        <f aca="false">IFERROR(VLOOKUP(C383,المخزن!$B$2:$H$201,7,FALSE()),0)</f>
        <v>0</v>
      </c>
      <c r="I383" s="27" t="str">
        <f aca="false">IF(C383="","",E383*H383)</f>
        <v/>
      </c>
    </row>
    <row r="384" customFormat="false" ht="15" hidden="false" customHeight="true" outlineLevel="0" collapsed="false">
      <c r="A384" s="21" t="str">
        <f aca="false">IF(C384="","",ROW()-1)</f>
        <v/>
      </c>
      <c r="B384" s="53"/>
      <c r="C384" s="22"/>
      <c r="D384" s="54" t="str">
        <f aca="false">IFERROR(VLOOKUP(C384,المخزن!$B$2:$H$201,2,FALSE()),"")</f>
        <v/>
      </c>
      <c r="E384" s="24"/>
      <c r="F384" s="26"/>
      <c r="G384" s="27" t="str">
        <f aca="false">IF(C384="","",E384*F384)</f>
        <v/>
      </c>
      <c r="H384" s="55" t="n">
        <f aca="false">IFERROR(VLOOKUP(C384,المخزن!$B$2:$H$201,7,FALSE()),0)</f>
        <v>0</v>
      </c>
      <c r="I384" s="27" t="str">
        <f aca="false">IF(C384="","",E384*H384)</f>
        <v/>
      </c>
    </row>
    <row r="385" customFormat="false" ht="15" hidden="false" customHeight="true" outlineLevel="0" collapsed="false">
      <c r="A385" s="21" t="str">
        <f aca="false">IF(C385="","",ROW()-1)</f>
        <v/>
      </c>
      <c r="B385" s="53"/>
      <c r="C385" s="22"/>
      <c r="D385" s="54" t="str">
        <f aca="false">IFERROR(VLOOKUP(C385,المخزن!$B$2:$H$201,2,FALSE()),"")</f>
        <v/>
      </c>
      <c r="E385" s="24"/>
      <c r="F385" s="26"/>
      <c r="G385" s="27" t="str">
        <f aca="false">IF(C385="","",E385*F385)</f>
        <v/>
      </c>
      <c r="H385" s="55" t="n">
        <f aca="false">IFERROR(VLOOKUP(C385,المخزن!$B$2:$H$201,7,FALSE()),0)</f>
        <v>0</v>
      </c>
      <c r="I385" s="27" t="str">
        <f aca="false">IF(C385="","",E385*H385)</f>
        <v/>
      </c>
    </row>
    <row r="386" customFormat="false" ht="15" hidden="false" customHeight="true" outlineLevel="0" collapsed="false">
      <c r="A386" s="21" t="str">
        <f aca="false">IF(C386="","",ROW()-1)</f>
        <v/>
      </c>
      <c r="B386" s="53"/>
      <c r="C386" s="22"/>
      <c r="D386" s="54" t="str">
        <f aca="false">IFERROR(VLOOKUP(C386,المخزن!$B$2:$H$201,2,FALSE()),"")</f>
        <v/>
      </c>
      <c r="E386" s="24"/>
      <c r="F386" s="26"/>
      <c r="G386" s="27" t="str">
        <f aca="false">IF(C386="","",E386*F386)</f>
        <v/>
      </c>
      <c r="H386" s="55" t="n">
        <f aca="false">IFERROR(VLOOKUP(C386,المخزن!$B$2:$H$201,7,FALSE()),0)</f>
        <v>0</v>
      </c>
      <c r="I386" s="27" t="str">
        <f aca="false">IF(C386="","",E386*H386)</f>
        <v/>
      </c>
    </row>
    <row r="387" customFormat="false" ht="15" hidden="false" customHeight="true" outlineLevel="0" collapsed="false">
      <c r="A387" s="21" t="str">
        <f aca="false">IF(C387="","",ROW()-1)</f>
        <v/>
      </c>
      <c r="B387" s="53"/>
      <c r="C387" s="22"/>
      <c r="D387" s="54" t="str">
        <f aca="false">IFERROR(VLOOKUP(C387,المخزن!$B$2:$H$201,2,FALSE()),"")</f>
        <v/>
      </c>
      <c r="E387" s="24"/>
      <c r="F387" s="26"/>
      <c r="G387" s="27" t="str">
        <f aca="false">IF(C387="","",E387*F387)</f>
        <v/>
      </c>
      <c r="H387" s="55" t="n">
        <f aca="false">IFERROR(VLOOKUP(C387,المخزن!$B$2:$H$201,7,FALSE()),0)</f>
        <v>0</v>
      </c>
      <c r="I387" s="27" t="str">
        <f aca="false">IF(C387="","",E387*H387)</f>
        <v/>
      </c>
    </row>
    <row r="388" customFormat="false" ht="15" hidden="false" customHeight="true" outlineLevel="0" collapsed="false">
      <c r="A388" s="21" t="str">
        <f aca="false">IF(C388="","",ROW()-1)</f>
        <v/>
      </c>
      <c r="B388" s="53"/>
      <c r="C388" s="22"/>
      <c r="D388" s="54" t="str">
        <f aca="false">IFERROR(VLOOKUP(C388,المخزن!$B$2:$H$201,2,FALSE()),"")</f>
        <v/>
      </c>
      <c r="E388" s="24"/>
      <c r="F388" s="26"/>
      <c r="G388" s="27" t="str">
        <f aca="false">IF(C388="","",E388*F388)</f>
        <v/>
      </c>
      <c r="H388" s="55" t="n">
        <f aca="false">IFERROR(VLOOKUP(C388,المخزن!$B$2:$H$201,7,FALSE()),0)</f>
        <v>0</v>
      </c>
      <c r="I388" s="27" t="str">
        <f aca="false">IF(C388="","",E388*H388)</f>
        <v/>
      </c>
    </row>
    <row r="389" customFormat="false" ht="15" hidden="false" customHeight="true" outlineLevel="0" collapsed="false">
      <c r="A389" s="21" t="str">
        <f aca="false">IF(C389="","",ROW()-1)</f>
        <v/>
      </c>
      <c r="B389" s="53"/>
      <c r="C389" s="22"/>
      <c r="D389" s="54" t="str">
        <f aca="false">IFERROR(VLOOKUP(C389,المخزن!$B$2:$H$201,2,FALSE()),"")</f>
        <v/>
      </c>
      <c r="E389" s="24"/>
      <c r="F389" s="26"/>
      <c r="G389" s="27" t="str">
        <f aca="false">IF(C389="","",E389*F389)</f>
        <v/>
      </c>
      <c r="H389" s="55" t="n">
        <f aca="false">IFERROR(VLOOKUP(C389,المخزن!$B$2:$H$201,7,FALSE()),0)</f>
        <v>0</v>
      </c>
      <c r="I389" s="27" t="str">
        <f aca="false">IF(C389="","",E389*H389)</f>
        <v/>
      </c>
    </row>
    <row r="390" customFormat="false" ht="15" hidden="false" customHeight="true" outlineLevel="0" collapsed="false">
      <c r="A390" s="21" t="str">
        <f aca="false">IF(C390="","",ROW()-1)</f>
        <v/>
      </c>
      <c r="B390" s="53"/>
      <c r="C390" s="22"/>
      <c r="D390" s="54" t="str">
        <f aca="false">IFERROR(VLOOKUP(C390,المخزن!$B$2:$H$201,2,FALSE()),"")</f>
        <v/>
      </c>
      <c r="E390" s="24"/>
      <c r="F390" s="26"/>
      <c r="G390" s="27" t="str">
        <f aca="false">IF(C390="","",E390*F390)</f>
        <v/>
      </c>
      <c r="H390" s="55" t="n">
        <f aca="false">IFERROR(VLOOKUP(C390,المخزن!$B$2:$H$201,7,FALSE()),0)</f>
        <v>0</v>
      </c>
      <c r="I390" s="27" t="str">
        <f aca="false">IF(C390="","",E390*H390)</f>
        <v/>
      </c>
    </row>
    <row r="391" customFormat="false" ht="15" hidden="false" customHeight="true" outlineLevel="0" collapsed="false">
      <c r="A391" s="21" t="str">
        <f aca="false">IF(C391="","",ROW()-1)</f>
        <v/>
      </c>
      <c r="B391" s="53"/>
      <c r="C391" s="22"/>
      <c r="D391" s="54" t="str">
        <f aca="false">IFERROR(VLOOKUP(C391,المخزن!$B$2:$H$201,2,FALSE()),"")</f>
        <v/>
      </c>
      <c r="E391" s="24"/>
      <c r="F391" s="26"/>
      <c r="G391" s="27" t="str">
        <f aca="false">IF(C391="","",E391*F391)</f>
        <v/>
      </c>
      <c r="H391" s="55" t="n">
        <f aca="false">IFERROR(VLOOKUP(C391,المخزن!$B$2:$H$201,7,FALSE()),0)</f>
        <v>0</v>
      </c>
      <c r="I391" s="27" t="str">
        <f aca="false">IF(C391="","",E391*H391)</f>
        <v/>
      </c>
    </row>
    <row r="392" customFormat="false" ht="15" hidden="false" customHeight="true" outlineLevel="0" collapsed="false">
      <c r="A392" s="21" t="str">
        <f aca="false">IF(C392="","",ROW()-1)</f>
        <v/>
      </c>
      <c r="B392" s="53"/>
      <c r="C392" s="22"/>
      <c r="D392" s="54" t="str">
        <f aca="false">IFERROR(VLOOKUP(C392,المخزن!$B$2:$H$201,2,FALSE()),"")</f>
        <v/>
      </c>
      <c r="E392" s="24"/>
      <c r="F392" s="26"/>
      <c r="G392" s="27" t="str">
        <f aca="false">IF(C392="","",E392*F392)</f>
        <v/>
      </c>
      <c r="H392" s="55" t="n">
        <f aca="false">IFERROR(VLOOKUP(C392,المخزن!$B$2:$H$201,7,FALSE()),0)</f>
        <v>0</v>
      </c>
      <c r="I392" s="27" t="str">
        <f aca="false">IF(C392="","",E392*H392)</f>
        <v/>
      </c>
    </row>
    <row r="393" customFormat="false" ht="15" hidden="false" customHeight="true" outlineLevel="0" collapsed="false">
      <c r="A393" s="21" t="str">
        <f aca="false">IF(C393="","",ROW()-1)</f>
        <v/>
      </c>
      <c r="B393" s="53"/>
      <c r="C393" s="22"/>
      <c r="D393" s="54" t="str">
        <f aca="false">IFERROR(VLOOKUP(C393,المخزن!$B$2:$H$201,2,FALSE()),"")</f>
        <v/>
      </c>
      <c r="E393" s="24"/>
      <c r="F393" s="26"/>
      <c r="G393" s="27" t="str">
        <f aca="false">IF(C393="","",E393*F393)</f>
        <v/>
      </c>
      <c r="H393" s="55" t="n">
        <f aca="false">IFERROR(VLOOKUP(C393,المخزن!$B$2:$H$201,7,FALSE()),0)</f>
        <v>0</v>
      </c>
      <c r="I393" s="27" t="str">
        <f aca="false">IF(C393="","",E393*H393)</f>
        <v/>
      </c>
    </row>
    <row r="394" customFormat="false" ht="15" hidden="false" customHeight="true" outlineLevel="0" collapsed="false">
      <c r="A394" s="21" t="str">
        <f aca="false">IF(C394="","",ROW()-1)</f>
        <v/>
      </c>
      <c r="B394" s="53"/>
      <c r="C394" s="22"/>
      <c r="D394" s="54" t="str">
        <f aca="false">IFERROR(VLOOKUP(C394,المخزن!$B$2:$H$201,2,FALSE()),"")</f>
        <v/>
      </c>
      <c r="E394" s="24"/>
      <c r="F394" s="26"/>
      <c r="G394" s="27" t="str">
        <f aca="false">IF(C394="","",E394*F394)</f>
        <v/>
      </c>
      <c r="H394" s="55" t="n">
        <f aca="false">IFERROR(VLOOKUP(C394,المخزن!$B$2:$H$201,7,FALSE()),0)</f>
        <v>0</v>
      </c>
      <c r="I394" s="27" t="str">
        <f aca="false">IF(C394="","",E394*H394)</f>
        <v/>
      </c>
    </row>
    <row r="395" customFormat="false" ht="15" hidden="false" customHeight="true" outlineLevel="0" collapsed="false">
      <c r="A395" s="21" t="str">
        <f aca="false">IF(C395="","",ROW()-1)</f>
        <v/>
      </c>
      <c r="B395" s="53"/>
      <c r="C395" s="22"/>
      <c r="D395" s="54" t="str">
        <f aca="false">IFERROR(VLOOKUP(C395,المخزن!$B$2:$H$201,2,FALSE()),"")</f>
        <v/>
      </c>
      <c r="E395" s="24"/>
      <c r="F395" s="26"/>
      <c r="G395" s="27" t="str">
        <f aca="false">IF(C395="","",E395*F395)</f>
        <v/>
      </c>
      <c r="H395" s="55" t="n">
        <f aca="false">IFERROR(VLOOKUP(C395,المخزن!$B$2:$H$201,7,FALSE()),0)</f>
        <v>0</v>
      </c>
      <c r="I395" s="27" t="str">
        <f aca="false">IF(C395="","",E395*H395)</f>
        <v/>
      </c>
    </row>
    <row r="396" customFormat="false" ht="15" hidden="false" customHeight="true" outlineLevel="0" collapsed="false">
      <c r="A396" s="21" t="str">
        <f aca="false">IF(C396="","",ROW()-1)</f>
        <v/>
      </c>
      <c r="B396" s="53"/>
      <c r="C396" s="22"/>
      <c r="D396" s="54" t="str">
        <f aca="false">IFERROR(VLOOKUP(C396,المخزن!$B$2:$H$201,2,FALSE()),"")</f>
        <v/>
      </c>
      <c r="E396" s="24"/>
      <c r="F396" s="26"/>
      <c r="G396" s="27" t="str">
        <f aca="false">IF(C396="","",E396*F396)</f>
        <v/>
      </c>
      <c r="H396" s="55" t="n">
        <f aca="false">IFERROR(VLOOKUP(C396,المخزن!$B$2:$H$201,7,FALSE()),0)</f>
        <v>0</v>
      </c>
      <c r="I396" s="27" t="str">
        <f aca="false">IF(C396="","",E396*H396)</f>
        <v/>
      </c>
    </row>
    <row r="397" customFormat="false" ht="15" hidden="false" customHeight="true" outlineLevel="0" collapsed="false">
      <c r="A397" s="21" t="str">
        <f aca="false">IF(C397="","",ROW()-1)</f>
        <v/>
      </c>
      <c r="B397" s="53"/>
      <c r="C397" s="22"/>
      <c r="D397" s="54" t="str">
        <f aca="false">IFERROR(VLOOKUP(C397,المخزن!$B$2:$H$201,2,FALSE()),"")</f>
        <v/>
      </c>
      <c r="E397" s="24"/>
      <c r="F397" s="26"/>
      <c r="G397" s="27" t="str">
        <f aca="false">IF(C397="","",E397*F397)</f>
        <v/>
      </c>
      <c r="H397" s="55" t="n">
        <f aca="false">IFERROR(VLOOKUP(C397,المخزن!$B$2:$H$201,7,FALSE()),0)</f>
        <v>0</v>
      </c>
      <c r="I397" s="27" t="str">
        <f aca="false">IF(C397="","",E397*H397)</f>
        <v/>
      </c>
    </row>
    <row r="398" customFormat="false" ht="15" hidden="false" customHeight="true" outlineLevel="0" collapsed="false">
      <c r="A398" s="21" t="str">
        <f aca="false">IF(C398="","",ROW()-1)</f>
        <v/>
      </c>
      <c r="B398" s="53"/>
      <c r="C398" s="22"/>
      <c r="D398" s="54" t="str">
        <f aca="false">IFERROR(VLOOKUP(C398,المخزن!$B$2:$H$201,2,FALSE()),"")</f>
        <v/>
      </c>
      <c r="E398" s="24"/>
      <c r="F398" s="26"/>
      <c r="G398" s="27" t="str">
        <f aca="false">IF(C398="","",E398*F398)</f>
        <v/>
      </c>
      <c r="H398" s="55" t="n">
        <f aca="false">IFERROR(VLOOKUP(C398,المخزن!$B$2:$H$201,7,FALSE()),0)</f>
        <v>0</v>
      </c>
      <c r="I398" s="27" t="str">
        <f aca="false">IF(C398="","",E398*H398)</f>
        <v/>
      </c>
    </row>
    <row r="399" customFormat="false" ht="15" hidden="false" customHeight="true" outlineLevel="0" collapsed="false">
      <c r="A399" s="21" t="str">
        <f aca="false">IF(C399="","",ROW()-1)</f>
        <v/>
      </c>
      <c r="B399" s="53"/>
      <c r="C399" s="22"/>
      <c r="D399" s="54" t="str">
        <f aca="false">IFERROR(VLOOKUP(C399,المخزن!$B$2:$H$201,2,FALSE()),"")</f>
        <v/>
      </c>
      <c r="E399" s="24"/>
      <c r="F399" s="26"/>
      <c r="G399" s="27" t="str">
        <f aca="false">IF(C399="","",E399*F399)</f>
        <v/>
      </c>
      <c r="H399" s="55" t="n">
        <f aca="false">IFERROR(VLOOKUP(C399,المخزن!$B$2:$H$201,7,FALSE()),0)</f>
        <v>0</v>
      </c>
      <c r="I399" s="27" t="str">
        <f aca="false">IF(C399="","",E399*H399)</f>
        <v/>
      </c>
    </row>
    <row r="400" customFormat="false" ht="15" hidden="false" customHeight="true" outlineLevel="0" collapsed="false">
      <c r="A400" s="21" t="str">
        <f aca="false">IF(C400="","",ROW()-1)</f>
        <v/>
      </c>
      <c r="B400" s="53"/>
      <c r="C400" s="22"/>
      <c r="D400" s="54" t="str">
        <f aca="false">IFERROR(VLOOKUP(C400,المخزن!$B$2:$H$201,2,FALSE()),"")</f>
        <v/>
      </c>
      <c r="E400" s="24"/>
      <c r="F400" s="26"/>
      <c r="G400" s="27" t="str">
        <f aca="false">IF(C400="","",E400*F400)</f>
        <v/>
      </c>
      <c r="H400" s="55" t="n">
        <f aca="false">IFERROR(VLOOKUP(C400,المخزن!$B$2:$H$201,7,FALSE()),0)</f>
        <v>0</v>
      </c>
      <c r="I400" s="27" t="str">
        <f aca="false">IF(C400="","",E400*H400)</f>
        <v/>
      </c>
    </row>
    <row r="401" customFormat="false" ht="15" hidden="false" customHeight="true" outlineLevel="0" collapsed="false">
      <c r="A401" s="21" t="str">
        <f aca="false">IF(C401="","",ROW()-1)</f>
        <v/>
      </c>
      <c r="B401" s="53"/>
      <c r="C401" s="22"/>
      <c r="D401" s="54" t="str">
        <f aca="false">IFERROR(VLOOKUP(C401,المخزن!$B$2:$H$201,2,FALSE()),"")</f>
        <v/>
      </c>
      <c r="E401" s="24"/>
      <c r="F401" s="26"/>
      <c r="G401" s="27" t="str">
        <f aca="false">IF(C401="","",E401*F401)</f>
        <v/>
      </c>
      <c r="H401" s="55" t="n">
        <f aca="false">IFERROR(VLOOKUP(C401,المخزن!$B$2:$H$201,7,FALSE()),0)</f>
        <v>0</v>
      </c>
      <c r="I401" s="27" t="str">
        <f aca="false">IF(C401="","",E401*H401)</f>
        <v/>
      </c>
    </row>
    <row r="403" customFormat="false" ht="15" hidden="false" customHeight="true" outlineLevel="0" collapsed="false">
      <c r="A403" s="56"/>
      <c r="B403" s="56"/>
      <c r="C403" s="56" t="s">
        <v>109</v>
      </c>
      <c r="D403" s="56"/>
      <c r="E403" s="57" t="n">
        <f aca="false">SUM(E2:E401)</f>
        <v>0</v>
      </c>
      <c r="F403" s="56"/>
      <c r="G403" s="58" t="n">
        <f aca="false">SUM(G2:G401)</f>
        <v>0</v>
      </c>
      <c r="H403" s="56"/>
      <c r="I403" s="58" t="n">
        <f aca="false">SUM(I2:I401)</f>
        <v>0</v>
      </c>
    </row>
  </sheetData>
  <conditionalFormatting sqref="A2:I401">
    <cfRule type="expression" priority="2" aboveAverage="0" equalAverage="0" bottom="0" percent="0" rank="0" text="" dxfId="11">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9" t="s">
        <v>21</v>
      </c>
      <c r="B1" s="59" t="s">
        <v>121</v>
      </c>
      <c r="C1" s="59" t="s">
        <v>22</v>
      </c>
      <c r="D1" s="59" t="s">
        <v>23</v>
      </c>
      <c r="E1" s="59" t="s">
        <v>26</v>
      </c>
      <c r="F1" s="59" t="s">
        <v>127</v>
      </c>
      <c r="G1" s="59" t="s">
        <v>128</v>
      </c>
      <c r="H1" s="59" t="s">
        <v>125</v>
      </c>
      <c r="I1" s="59" t="s">
        <v>7</v>
      </c>
    </row>
    <row r="2" customFormat="false" ht="15" hidden="false" customHeight="true" outlineLevel="0" collapsed="false">
      <c r="A2" s="21" t="str">
        <f aca="false">IF(C2="","",ROW()-1)</f>
        <v/>
      </c>
      <c r="B2" s="53"/>
      <c r="C2" s="22"/>
      <c r="D2" s="54" t="str">
        <f aca="false">IFERROR(VLOOKUP(C2,المخزن!$B$2:$H$201,2,FALSE()),"")</f>
        <v/>
      </c>
      <c r="E2" s="24"/>
      <c r="F2" s="26"/>
      <c r="G2" s="27" t="str">
        <f aca="false">IF(C2="","",E2*F2)</f>
        <v/>
      </c>
      <c r="H2" s="55" t="n">
        <f aca="false">IFERROR(VLOOKUP(C2,المخزن!$B$2:$H$201,7,FALSE()),0)</f>
        <v>0</v>
      </c>
      <c r="I2" s="27" t="str">
        <f aca="false">IF(C2="","",E2*H2)</f>
        <v/>
      </c>
    </row>
    <row r="3" customFormat="false" ht="15" hidden="false" customHeight="true" outlineLevel="0" collapsed="false">
      <c r="A3" s="21" t="str">
        <f aca="false">IF(C3="","",ROW()-1)</f>
        <v/>
      </c>
      <c r="B3" s="53"/>
      <c r="C3" s="22"/>
      <c r="D3" s="54" t="str">
        <f aca="false">IFERROR(VLOOKUP(C3,المخزن!$B$2:$H$201,2,FALSE()),"")</f>
        <v/>
      </c>
      <c r="E3" s="24"/>
      <c r="F3" s="26"/>
      <c r="G3" s="27" t="str">
        <f aca="false">IF(C3="","",E3*F3)</f>
        <v/>
      </c>
      <c r="H3" s="55" t="n">
        <f aca="false">IFERROR(VLOOKUP(C3,المخزن!$B$2:$H$201,7,FALSE()),0)</f>
        <v>0</v>
      </c>
      <c r="I3" s="27" t="str">
        <f aca="false">IF(C3="","",E3*H3)</f>
        <v/>
      </c>
    </row>
    <row r="4" customFormat="false" ht="15" hidden="false" customHeight="true" outlineLevel="0" collapsed="false">
      <c r="A4" s="21" t="str">
        <f aca="false">IF(C4="","",ROW()-1)</f>
        <v/>
      </c>
      <c r="B4" s="53"/>
      <c r="C4" s="22"/>
      <c r="D4" s="54" t="str">
        <f aca="false">IFERROR(VLOOKUP(C4,المخزن!$B$2:$H$201,2,FALSE()),"")</f>
        <v/>
      </c>
      <c r="E4" s="24"/>
      <c r="F4" s="26"/>
      <c r="G4" s="27" t="str">
        <f aca="false">IF(C4="","",E4*F4)</f>
        <v/>
      </c>
      <c r="H4" s="55" t="n">
        <f aca="false">IFERROR(VLOOKUP(C4,المخزن!$B$2:$H$201,7,FALSE()),0)</f>
        <v>0</v>
      </c>
      <c r="I4" s="27" t="str">
        <f aca="false">IF(C4="","",E4*H4)</f>
        <v/>
      </c>
    </row>
    <row r="5" customFormat="false" ht="15" hidden="false" customHeight="true" outlineLevel="0" collapsed="false">
      <c r="A5" s="21" t="str">
        <f aca="false">IF(C5="","",ROW()-1)</f>
        <v/>
      </c>
      <c r="B5" s="53"/>
      <c r="C5" s="22"/>
      <c r="D5" s="54" t="str">
        <f aca="false">IFERROR(VLOOKUP(C5,المخزن!$B$2:$H$201,2,FALSE()),"")</f>
        <v/>
      </c>
      <c r="E5" s="24"/>
      <c r="F5" s="26"/>
      <c r="G5" s="27" t="str">
        <f aca="false">IF(C5="","",E5*F5)</f>
        <v/>
      </c>
      <c r="H5" s="55" t="n">
        <f aca="false">IFERROR(VLOOKUP(C5,المخزن!$B$2:$H$201,7,FALSE()),0)</f>
        <v>0</v>
      </c>
      <c r="I5" s="27" t="str">
        <f aca="false">IF(C5="","",E5*H5)</f>
        <v/>
      </c>
    </row>
    <row r="6" customFormat="false" ht="15" hidden="false" customHeight="true" outlineLevel="0" collapsed="false">
      <c r="A6" s="21" t="str">
        <f aca="false">IF(C6="","",ROW()-1)</f>
        <v/>
      </c>
      <c r="B6" s="53"/>
      <c r="C6" s="22"/>
      <c r="D6" s="54" t="str">
        <f aca="false">IFERROR(VLOOKUP(C6,المخزن!$B$2:$H$201,2,FALSE()),"")</f>
        <v/>
      </c>
      <c r="E6" s="24"/>
      <c r="F6" s="26"/>
      <c r="G6" s="27" t="str">
        <f aca="false">IF(C6="","",E6*F6)</f>
        <v/>
      </c>
      <c r="H6" s="55" t="n">
        <f aca="false">IFERROR(VLOOKUP(C6,المخزن!$B$2:$H$201,7,FALSE()),0)</f>
        <v>0</v>
      </c>
      <c r="I6" s="27" t="str">
        <f aca="false">IF(C6="","",E6*H6)</f>
        <v/>
      </c>
    </row>
    <row r="7" customFormat="false" ht="15" hidden="false" customHeight="true" outlineLevel="0" collapsed="false">
      <c r="A7" s="21" t="str">
        <f aca="false">IF(C7="","",ROW()-1)</f>
        <v/>
      </c>
      <c r="B7" s="53"/>
      <c r="C7" s="22"/>
      <c r="D7" s="54" t="str">
        <f aca="false">IFERROR(VLOOKUP(C7,المخزن!$B$2:$H$201,2,FALSE()),"")</f>
        <v/>
      </c>
      <c r="E7" s="24"/>
      <c r="F7" s="26"/>
      <c r="G7" s="27" t="str">
        <f aca="false">IF(C7="","",E7*F7)</f>
        <v/>
      </c>
      <c r="H7" s="55" t="n">
        <f aca="false">IFERROR(VLOOKUP(C7,المخزن!$B$2:$H$201,7,FALSE()),0)</f>
        <v>0</v>
      </c>
      <c r="I7" s="27" t="str">
        <f aca="false">IF(C7="","",E7*H7)</f>
        <v/>
      </c>
    </row>
    <row r="8" customFormat="false" ht="15" hidden="false" customHeight="true" outlineLevel="0" collapsed="false">
      <c r="A8" s="21" t="str">
        <f aca="false">IF(C8="","",ROW()-1)</f>
        <v/>
      </c>
      <c r="B8" s="53"/>
      <c r="C8" s="22"/>
      <c r="D8" s="54" t="str">
        <f aca="false">IFERROR(VLOOKUP(C8,المخزن!$B$2:$H$201,2,FALSE()),"")</f>
        <v/>
      </c>
      <c r="E8" s="24"/>
      <c r="F8" s="26"/>
      <c r="G8" s="27" t="str">
        <f aca="false">IF(C8="","",E8*F8)</f>
        <v/>
      </c>
      <c r="H8" s="55" t="n">
        <f aca="false">IFERROR(VLOOKUP(C8,المخزن!$B$2:$H$201,7,FALSE()),0)</f>
        <v>0</v>
      </c>
      <c r="I8" s="27" t="str">
        <f aca="false">IF(C8="","",E8*H8)</f>
        <v/>
      </c>
    </row>
    <row r="9" customFormat="false" ht="15" hidden="false" customHeight="true" outlineLevel="0" collapsed="false">
      <c r="A9" s="21" t="str">
        <f aca="false">IF(C9="","",ROW()-1)</f>
        <v/>
      </c>
      <c r="B9" s="53"/>
      <c r="C9" s="22"/>
      <c r="D9" s="54" t="str">
        <f aca="false">IFERROR(VLOOKUP(C9,المخزن!$B$2:$H$201,2,FALSE()),"")</f>
        <v/>
      </c>
      <c r="E9" s="24"/>
      <c r="F9" s="26"/>
      <c r="G9" s="27" t="str">
        <f aca="false">IF(C9="","",E9*F9)</f>
        <v/>
      </c>
      <c r="H9" s="55" t="n">
        <f aca="false">IFERROR(VLOOKUP(C9,المخزن!$B$2:$H$201,7,FALSE()),0)</f>
        <v>0</v>
      </c>
      <c r="I9" s="27" t="str">
        <f aca="false">IF(C9="","",E9*H9)</f>
        <v/>
      </c>
    </row>
    <row r="10" customFormat="false" ht="15" hidden="false" customHeight="true" outlineLevel="0" collapsed="false">
      <c r="A10" s="21" t="str">
        <f aca="false">IF(C10="","",ROW()-1)</f>
        <v/>
      </c>
      <c r="B10" s="53"/>
      <c r="C10" s="22"/>
      <c r="D10" s="54" t="str">
        <f aca="false">IFERROR(VLOOKUP(C10,المخزن!$B$2:$H$201,2,FALSE()),"")</f>
        <v/>
      </c>
      <c r="E10" s="24"/>
      <c r="F10" s="26"/>
      <c r="G10" s="27" t="str">
        <f aca="false">IF(C10="","",E10*F10)</f>
        <v/>
      </c>
      <c r="H10" s="55" t="n">
        <f aca="false">IFERROR(VLOOKUP(C10,المخزن!$B$2:$H$201,7,FALSE()),0)</f>
        <v>0</v>
      </c>
      <c r="I10" s="27" t="str">
        <f aca="false">IF(C10="","",E10*H10)</f>
        <v/>
      </c>
    </row>
    <row r="11" customFormat="false" ht="15" hidden="false" customHeight="true" outlineLevel="0" collapsed="false">
      <c r="A11" s="21" t="str">
        <f aca="false">IF(C11="","",ROW()-1)</f>
        <v/>
      </c>
      <c r="B11" s="53"/>
      <c r="C11" s="22"/>
      <c r="D11" s="54" t="str">
        <f aca="false">IFERROR(VLOOKUP(C11,المخزن!$B$2:$H$201,2,FALSE()),"")</f>
        <v/>
      </c>
      <c r="E11" s="24"/>
      <c r="F11" s="26"/>
      <c r="G11" s="27" t="str">
        <f aca="false">IF(C11="","",E11*F11)</f>
        <v/>
      </c>
      <c r="H11" s="55" t="n">
        <f aca="false">IFERROR(VLOOKUP(C11,المخزن!$B$2:$H$201,7,FALSE()),0)</f>
        <v>0</v>
      </c>
      <c r="I11" s="27" t="str">
        <f aca="false">IF(C11="","",E11*H11)</f>
        <v/>
      </c>
    </row>
    <row r="12" customFormat="false" ht="15" hidden="false" customHeight="true" outlineLevel="0" collapsed="false">
      <c r="A12" s="21" t="str">
        <f aca="false">IF(C12="","",ROW()-1)</f>
        <v/>
      </c>
      <c r="B12" s="53"/>
      <c r="C12" s="22"/>
      <c r="D12" s="54" t="str">
        <f aca="false">IFERROR(VLOOKUP(C12,المخزن!$B$2:$H$201,2,FALSE()),"")</f>
        <v/>
      </c>
      <c r="E12" s="24"/>
      <c r="F12" s="26"/>
      <c r="G12" s="27" t="str">
        <f aca="false">IF(C12="","",E12*F12)</f>
        <v/>
      </c>
      <c r="H12" s="55" t="n">
        <f aca="false">IFERROR(VLOOKUP(C12,المخزن!$B$2:$H$201,7,FALSE()),0)</f>
        <v>0</v>
      </c>
      <c r="I12" s="27" t="str">
        <f aca="false">IF(C12="","",E12*H12)</f>
        <v/>
      </c>
    </row>
    <row r="13" customFormat="false" ht="15" hidden="false" customHeight="true" outlineLevel="0" collapsed="false">
      <c r="A13" s="21" t="str">
        <f aca="false">IF(C13="","",ROW()-1)</f>
        <v/>
      </c>
      <c r="B13" s="53"/>
      <c r="C13" s="22"/>
      <c r="D13" s="54" t="str">
        <f aca="false">IFERROR(VLOOKUP(C13,المخزن!$B$2:$H$201,2,FALSE()),"")</f>
        <v/>
      </c>
      <c r="E13" s="24"/>
      <c r="F13" s="26"/>
      <c r="G13" s="27" t="str">
        <f aca="false">IF(C13="","",E13*F13)</f>
        <v/>
      </c>
      <c r="H13" s="55" t="n">
        <f aca="false">IFERROR(VLOOKUP(C13,المخزن!$B$2:$H$201,7,FALSE()),0)</f>
        <v>0</v>
      </c>
      <c r="I13" s="27" t="str">
        <f aca="false">IF(C13="","",E13*H13)</f>
        <v/>
      </c>
    </row>
    <row r="14" customFormat="false" ht="15" hidden="false" customHeight="true" outlineLevel="0" collapsed="false">
      <c r="A14" s="21" t="str">
        <f aca="false">IF(C14="","",ROW()-1)</f>
        <v/>
      </c>
      <c r="B14" s="53"/>
      <c r="C14" s="22"/>
      <c r="D14" s="54" t="str">
        <f aca="false">IFERROR(VLOOKUP(C14,المخزن!$B$2:$H$201,2,FALSE()),"")</f>
        <v/>
      </c>
      <c r="E14" s="24"/>
      <c r="F14" s="26"/>
      <c r="G14" s="27" t="str">
        <f aca="false">IF(C14="","",E14*F14)</f>
        <v/>
      </c>
      <c r="H14" s="55" t="n">
        <f aca="false">IFERROR(VLOOKUP(C14,المخزن!$B$2:$H$201,7,FALSE()),0)</f>
        <v>0</v>
      </c>
      <c r="I14" s="27" t="str">
        <f aca="false">IF(C14="","",E14*H14)</f>
        <v/>
      </c>
    </row>
    <row r="15" customFormat="false" ht="15" hidden="false" customHeight="true" outlineLevel="0" collapsed="false">
      <c r="A15" s="21" t="str">
        <f aca="false">IF(C15="","",ROW()-1)</f>
        <v/>
      </c>
      <c r="B15" s="53"/>
      <c r="C15" s="22"/>
      <c r="D15" s="54" t="str">
        <f aca="false">IFERROR(VLOOKUP(C15,المخزن!$B$2:$H$201,2,FALSE()),"")</f>
        <v/>
      </c>
      <c r="E15" s="24"/>
      <c r="F15" s="26"/>
      <c r="G15" s="27" t="str">
        <f aca="false">IF(C15="","",E15*F15)</f>
        <v/>
      </c>
      <c r="H15" s="55" t="n">
        <f aca="false">IFERROR(VLOOKUP(C15,المخزن!$B$2:$H$201,7,FALSE()),0)</f>
        <v>0</v>
      </c>
      <c r="I15" s="27" t="str">
        <f aca="false">IF(C15="","",E15*H15)</f>
        <v/>
      </c>
    </row>
    <row r="16" customFormat="false" ht="15" hidden="false" customHeight="true" outlineLevel="0" collapsed="false">
      <c r="A16" s="21" t="str">
        <f aca="false">IF(C16="","",ROW()-1)</f>
        <v/>
      </c>
      <c r="B16" s="53"/>
      <c r="C16" s="22"/>
      <c r="D16" s="54" t="str">
        <f aca="false">IFERROR(VLOOKUP(C16,المخزن!$B$2:$H$201,2,FALSE()),"")</f>
        <v/>
      </c>
      <c r="E16" s="24"/>
      <c r="F16" s="26"/>
      <c r="G16" s="27" t="str">
        <f aca="false">IF(C16="","",E16*F16)</f>
        <v/>
      </c>
      <c r="H16" s="55" t="n">
        <f aca="false">IFERROR(VLOOKUP(C16,المخزن!$B$2:$H$201,7,FALSE()),0)</f>
        <v>0</v>
      </c>
      <c r="I16" s="27" t="str">
        <f aca="false">IF(C16="","",E16*H16)</f>
        <v/>
      </c>
    </row>
    <row r="17" customFormat="false" ht="15" hidden="false" customHeight="true" outlineLevel="0" collapsed="false">
      <c r="A17" s="21" t="str">
        <f aca="false">IF(C17="","",ROW()-1)</f>
        <v/>
      </c>
      <c r="B17" s="53"/>
      <c r="C17" s="22"/>
      <c r="D17" s="54" t="str">
        <f aca="false">IFERROR(VLOOKUP(C17,المخزن!$B$2:$H$201,2,FALSE()),"")</f>
        <v/>
      </c>
      <c r="E17" s="24"/>
      <c r="F17" s="26"/>
      <c r="G17" s="27" t="str">
        <f aca="false">IF(C17="","",E17*F17)</f>
        <v/>
      </c>
      <c r="H17" s="55" t="n">
        <f aca="false">IFERROR(VLOOKUP(C17,المخزن!$B$2:$H$201,7,FALSE()),0)</f>
        <v>0</v>
      </c>
      <c r="I17" s="27" t="str">
        <f aca="false">IF(C17="","",E17*H17)</f>
        <v/>
      </c>
    </row>
    <row r="18" customFormat="false" ht="15" hidden="false" customHeight="true" outlineLevel="0" collapsed="false">
      <c r="A18" s="21" t="str">
        <f aca="false">IF(C18="","",ROW()-1)</f>
        <v/>
      </c>
      <c r="B18" s="53"/>
      <c r="C18" s="22"/>
      <c r="D18" s="54" t="str">
        <f aca="false">IFERROR(VLOOKUP(C18,المخزن!$B$2:$H$201,2,FALSE()),"")</f>
        <v/>
      </c>
      <c r="E18" s="24"/>
      <c r="F18" s="26"/>
      <c r="G18" s="27" t="str">
        <f aca="false">IF(C18="","",E18*F18)</f>
        <v/>
      </c>
      <c r="H18" s="55" t="n">
        <f aca="false">IFERROR(VLOOKUP(C18,المخزن!$B$2:$H$201,7,FALSE()),0)</f>
        <v>0</v>
      </c>
      <c r="I18" s="27" t="str">
        <f aca="false">IF(C18="","",E18*H18)</f>
        <v/>
      </c>
    </row>
    <row r="19" customFormat="false" ht="15" hidden="false" customHeight="true" outlineLevel="0" collapsed="false">
      <c r="A19" s="21" t="str">
        <f aca="false">IF(C19="","",ROW()-1)</f>
        <v/>
      </c>
      <c r="B19" s="53"/>
      <c r="C19" s="22"/>
      <c r="D19" s="54" t="str">
        <f aca="false">IFERROR(VLOOKUP(C19,المخزن!$B$2:$H$201,2,FALSE()),"")</f>
        <v/>
      </c>
      <c r="E19" s="24"/>
      <c r="F19" s="26"/>
      <c r="G19" s="27" t="str">
        <f aca="false">IF(C19="","",E19*F19)</f>
        <v/>
      </c>
      <c r="H19" s="55" t="n">
        <f aca="false">IFERROR(VLOOKUP(C19,المخزن!$B$2:$H$201,7,FALSE()),0)</f>
        <v>0</v>
      </c>
      <c r="I19" s="27" t="str">
        <f aca="false">IF(C19="","",E19*H19)</f>
        <v/>
      </c>
    </row>
    <row r="20" customFormat="false" ht="15" hidden="false" customHeight="true" outlineLevel="0" collapsed="false">
      <c r="A20" s="21" t="str">
        <f aca="false">IF(C20="","",ROW()-1)</f>
        <v/>
      </c>
      <c r="B20" s="53"/>
      <c r="C20" s="22"/>
      <c r="D20" s="54" t="str">
        <f aca="false">IFERROR(VLOOKUP(C20,المخزن!$B$2:$H$201,2,FALSE()),"")</f>
        <v/>
      </c>
      <c r="E20" s="24"/>
      <c r="F20" s="26"/>
      <c r="G20" s="27" t="str">
        <f aca="false">IF(C20="","",E20*F20)</f>
        <v/>
      </c>
      <c r="H20" s="55" t="n">
        <f aca="false">IFERROR(VLOOKUP(C20,المخزن!$B$2:$H$201,7,FALSE()),0)</f>
        <v>0</v>
      </c>
      <c r="I20" s="27" t="str">
        <f aca="false">IF(C20="","",E20*H20)</f>
        <v/>
      </c>
    </row>
    <row r="21" customFormat="false" ht="15" hidden="false" customHeight="true" outlineLevel="0" collapsed="false">
      <c r="A21" s="21" t="str">
        <f aca="false">IF(C21="","",ROW()-1)</f>
        <v/>
      </c>
      <c r="B21" s="53"/>
      <c r="C21" s="22"/>
      <c r="D21" s="54" t="str">
        <f aca="false">IFERROR(VLOOKUP(C21,المخزن!$B$2:$H$201,2,FALSE()),"")</f>
        <v/>
      </c>
      <c r="E21" s="24"/>
      <c r="F21" s="26"/>
      <c r="G21" s="27" t="str">
        <f aca="false">IF(C21="","",E21*F21)</f>
        <v/>
      </c>
      <c r="H21" s="55" t="n">
        <f aca="false">IFERROR(VLOOKUP(C21,المخزن!$B$2:$H$201,7,FALSE()),0)</f>
        <v>0</v>
      </c>
      <c r="I21" s="27" t="str">
        <f aca="false">IF(C21="","",E21*H21)</f>
        <v/>
      </c>
    </row>
    <row r="22" customFormat="false" ht="15" hidden="false" customHeight="true" outlineLevel="0" collapsed="false">
      <c r="A22" s="21" t="str">
        <f aca="false">IF(C22="","",ROW()-1)</f>
        <v/>
      </c>
      <c r="B22" s="53"/>
      <c r="C22" s="22"/>
      <c r="D22" s="54" t="str">
        <f aca="false">IFERROR(VLOOKUP(C22,المخزن!$B$2:$H$201,2,FALSE()),"")</f>
        <v/>
      </c>
      <c r="E22" s="24"/>
      <c r="F22" s="26"/>
      <c r="G22" s="27" t="str">
        <f aca="false">IF(C22="","",E22*F22)</f>
        <v/>
      </c>
      <c r="H22" s="55" t="n">
        <f aca="false">IFERROR(VLOOKUP(C22,المخزن!$B$2:$H$201,7,FALSE()),0)</f>
        <v>0</v>
      </c>
      <c r="I22" s="27" t="str">
        <f aca="false">IF(C22="","",E22*H22)</f>
        <v/>
      </c>
    </row>
    <row r="23" customFormat="false" ht="15" hidden="false" customHeight="true" outlineLevel="0" collapsed="false">
      <c r="A23" s="21" t="str">
        <f aca="false">IF(C23="","",ROW()-1)</f>
        <v/>
      </c>
      <c r="B23" s="53"/>
      <c r="C23" s="22"/>
      <c r="D23" s="54" t="str">
        <f aca="false">IFERROR(VLOOKUP(C23,المخزن!$B$2:$H$201,2,FALSE()),"")</f>
        <v/>
      </c>
      <c r="E23" s="24"/>
      <c r="F23" s="26"/>
      <c r="G23" s="27" t="str">
        <f aca="false">IF(C23="","",E23*F23)</f>
        <v/>
      </c>
      <c r="H23" s="55" t="n">
        <f aca="false">IFERROR(VLOOKUP(C23,المخزن!$B$2:$H$201,7,FALSE()),0)</f>
        <v>0</v>
      </c>
      <c r="I23" s="27" t="str">
        <f aca="false">IF(C23="","",E23*H23)</f>
        <v/>
      </c>
    </row>
    <row r="24" customFormat="false" ht="15" hidden="false" customHeight="true" outlineLevel="0" collapsed="false">
      <c r="A24" s="21" t="str">
        <f aca="false">IF(C24="","",ROW()-1)</f>
        <v/>
      </c>
      <c r="B24" s="53"/>
      <c r="C24" s="22"/>
      <c r="D24" s="54" t="str">
        <f aca="false">IFERROR(VLOOKUP(C24,المخزن!$B$2:$H$201,2,FALSE()),"")</f>
        <v/>
      </c>
      <c r="E24" s="24"/>
      <c r="F24" s="26"/>
      <c r="G24" s="27" t="str">
        <f aca="false">IF(C24="","",E24*F24)</f>
        <v/>
      </c>
      <c r="H24" s="55" t="n">
        <f aca="false">IFERROR(VLOOKUP(C24,المخزن!$B$2:$H$201,7,FALSE()),0)</f>
        <v>0</v>
      </c>
      <c r="I24" s="27" t="str">
        <f aca="false">IF(C24="","",E24*H24)</f>
        <v/>
      </c>
    </row>
    <row r="25" customFormat="false" ht="15" hidden="false" customHeight="true" outlineLevel="0" collapsed="false">
      <c r="A25" s="21" t="str">
        <f aca="false">IF(C25="","",ROW()-1)</f>
        <v/>
      </c>
      <c r="B25" s="53"/>
      <c r="C25" s="22"/>
      <c r="D25" s="54" t="str">
        <f aca="false">IFERROR(VLOOKUP(C25,المخزن!$B$2:$H$201,2,FALSE()),"")</f>
        <v/>
      </c>
      <c r="E25" s="24"/>
      <c r="F25" s="26"/>
      <c r="G25" s="27" t="str">
        <f aca="false">IF(C25="","",E25*F25)</f>
        <v/>
      </c>
      <c r="H25" s="55" t="n">
        <f aca="false">IFERROR(VLOOKUP(C25,المخزن!$B$2:$H$201,7,FALSE()),0)</f>
        <v>0</v>
      </c>
      <c r="I25" s="27" t="str">
        <f aca="false">IF(C25="","",E25*H25)</f>
        <v/>
      </c>
    </row>
    <row r="26" customFormat="false" ht="15" hidden="false" customHeight="true" outlineLevel="0" collapsed="false">
      <c r="A26" s="21" t="str">
        <f aca="false">IF(C26="","",ROW()-1)</f>
        <v/>
      </c>
      <c r="B26" s="53"/>
      <c r="C26" s="22"/>
      <c r="D26" s="54" t="str">
        <f aca="false">IFERROR(VLOOKUP(C26,المخزن!$B$2:$H$201,2,FALSE()),"")</f>
        <v/>
      </c>
      <c r="E26" s="24"/>
      <c r="F26" s="26"/>
      <c r="G26" s="27" t="str">
        <f aca="false">IF(C26="","",E26*F26)</f>
        <v/>
      </c>
      <c r="H26" s="55" t="n">
        <f aca="false">IFERROR(VLOOKUP(C26,المخزن!$B$2:$H$201,7,FALSE()),0)</f>
        <v>0</v>
      </c>
      <c r="I26" s="27" t="str">
        <f aca="false">IF(C26="","",E26*H26)</f>
        <v/>
      </c>
    </row>
    <row r="27" customFormat="false" ht="15" hidden="false" customHeight="true" outlineLevel="0" collapsed="false">
      <c r="A27" s="21" t="str">
        <f aca="false">IF(C27="","",ROW()-1)</f>
        <v/>
      </c>
      <c r="B27" s="53"/>
      <c r="C27" s="22"/>
      <c r="D27" s="54" t="str">
        <f aca="false">IFERROR(VLOOKUP(C27,المخزن!$B$2:$H$201,2,FALSE()),"")</f>
        <v/>
      </c>
      <c r="E27" s="24"/>
      <c r="F27" s="26"/>
      <c r="G27" s="27" t="str">
        <f aca="false">IF(C27="","",E27*F27)</f>
        <v/>
      </c>
      <c r="H27" s="55" t="n">
        <f aca="false">IFERROR(VLOOKUP(C27,المخزن!$B$2:$H$201,7,FALSE()),0)</f>
        <v>0</v>
      </c>
      <c r="I27" s="27" t="str">
        <f aca="false">IF(C27="","",E27*H27)</f>
        <v/>
      </c>
    </row>
    <row r="28" customFormat="false" ht="15" hidden="false" customHeight="true" outlineLevel="0" collapsed="false">
      <c r="A28" s="21" t="str">
        <f aca="false">IF(C28="","",ROW()-1)</f>
        <v/>
      </c>
      <c r="B28" s="53"/>
      <c r="C28" s="22"/>
      <c r="D28" s="54" t="str">
        <f aca="false">IFERROR(VLOOKUP(C28,المخزن!$B$2:$H$201,2,FALSE()),"")</f>
        <v/>
      </c>
      <c r="E28" s="24"/>
      <c r="F28" s="26"/>
      <c r="G28" s="27" t="str">
        <f aca="false">IF(C28="","",E28*F28)</f>
        <v/>
      </c>
      <c r="H28" s="55" t="n">
        <f aca="false">IFERROR(VLOOKUP(C28,المخزن!$B$2:$H$201,7,FALSE()),0)</f>
        <v>0</v>
      </c>
      <c r="I28" s="27" t="str">
        <f aca="false">IF(C28="","",E28*H28)</f>
        <v/>
      </c>
    </row>
    <row r="29" customFormat="false" ht="15" hidden="false" customHeight="true" outlineLevel="0" collapsed="false">
      <c r="A29" s="21" t="str">
        <f aca="false">IF(C29="","",ROW()-1)</f>
        <v/>
      </c>
      <c r="B29" s="53"/>
      <c r="C29" s="22"/>
      <c r="D29" s="54" t="str">
        <f aca="false">IFERROR(VLOOKUP(C29,المخزن!$B$2:$H$201,2,FALSE()),"")</f>
        <v/>
      </c>
      <c r="E29" s="24"/>
      <c r="F29" s="26"/>
      <c r="G29" s="27" t="str">
        <f aca="false">IF(C29="","",E29*F29)</f>
        <v/>
      </c>
      <c r="H29" s="55" t="n">
        <f aca="false">IFERROR(VLOOKUP(C29,المخزن!$B$2:$H$201,7,FALSE()),0)</f>
        <v>0</v>
      </c>
      <c r="I29" s="27" t="str">
        <f aca="false">IF(C29="","",E29*H29)</f>
        <v/>
      </c>
    </row>
    <row r="30" customFormat="false" ht="15" hidden="false" customHeight="true" outlineLevel="0" collapsed="false">
      <c r="A30" s="21" t="str">
        <f aca="false">IF(C30="","",ROW()-1)</f>
        <v/>
      </c>
      <c r="B30" s="53"/>
      <c r="C30" s="22"/>
      <c r="D30" s="54" t="str">
        <f aca="false">IFERROR(VLOOKUP(C30,المخزن!$B$2:$H$201,2,FALSE()),"")</f>
        <v/>
      </c>
      <c r="E30" s="24"/>
      <c r="F30" s="26"/>
      <c r="G30" s="27" t="str">
        <f aca="false">IF(C30="","",E30*F30)</f>
        <v/>
      </c>
      <c r="H30" s="55" t="n">
        <f aca="false">IFERROR(VLOOKUP(C30,المخزن!$B$2:$H$201,7,FALSE()),0)</f>
        <v>0</v>
      </c>
      <c r="I30" s="27" t="str">
        <f aca="false">IF(C30="","",E30*H30)</f>
        <v/>
      </c>
    </row>
    <row r="31" customFormat="false" ht="15" hidden="false" customHeight="true" outlineLevel="0" collapsed="false">
      <c r="A31" s="21" t="str">
        <f aca="false">IF(C31="","",ROW()-1)</f>
        <v/>
      </c>
      <c r="B31" s="53"/>
      <c r="C31" s="22"/>
      <c r="D31" s="54" t="str">
        <f aca="false">IFERROR(VLOOKUP(C31,المخزن!$B$2:$H$201,2,FALSE()),"")</f>
        <v/>
      </c>
      <c r="E31" s="24"/>
      <c r="F31" s="26"/>
      <c r="G31" s="27" t="str">
        <f aca="false">IF(C31="","",E31*F31)</f>
        <v/>
      </c>
      <c r="H31" s="55" t="n">
        <f aca="false">IFERROR(VLOOKUP(C31,المخزن!$B$2:$H$201,7,FALSE()),0)</f>
        <v>0</v>
      </c>
      <c r="I31" s="27" t="str">
        <f aca="false">IF(C31="","",E31*H31)</f>
        <v/>
      </c>
    </row>
    <row r="32" customFormat="false" ht="15" hidden="false" customHeight="true" outlineLevel="0" collapsed="false">
      <c r="A32" s="21" t="str">
        <f aca="false">IF(C32="","",ROW()-1)</f>
        <v/>
      </c>
      <c r="B32" s="53"/>
      <c r="C32" s="22"/>
      <c r="D32" s="54" t="str">
        <f aca="false">IFERROR(VLOOKUP(C32,المخزن!$B$2:$H$201,2,FALSE()),"")</f>
        <v/>
      </c>
      <c r="E32" s="24"/>
      <c r="F32" s="26"/>
      <c r="G32" s="27" t="str">
        <f aca="false">IF(C32="","",E32*F32)</f>
        <v/>
      </c>
      <c r="H32" s="55" t="n">
        <f aca="false">IFERROR(VLOOKUP(C32,المخزن!$B$2:$H$201,7,FALSE()),0)</f>
        <v>0</v>
      </c>
      <c r="I32" s="27" t="str">
        <f aca="false">IF(C32="","",E32*H32)</f>
        <v/>
      </c>
    </row>
    <row r="33" customFormat="false" ht="15" hidden="false" customHeight="true" outlineLevel="0" collapsed="false">
      <c r="A33" s="21" t="str">
        <f aca="false">IF(C33="","",ROW()-1)</f>
        <v/>
      </c>
      <c r="B33" s="53"/>
      <c r="C33" s="22"/>
      <c r="D33" s="54" t="str">
        <f aca="false">IFERROR(VLOOKUP(C33,المخزن!$B$2:$H$201,2,FALSE()),"")</f>
        <v/>
      </c>
      <c r="E33" s="24"/>
      <c r="F33" s="26"/>
      <c r="G33" s="27" t="str">
        <f aca="false">IF(C33="","",E33*F33)</f>
        <v/>
      </c>
      <c r="H33" s="55" t="n">
        <f aca="false">IFERROR(VLOOKUP(C33,المخزن!$B$2:$H$201,7,FALSE()),0)</f>
        <v>0</v>
      </c>
      <c r="I33" s="27" t="str">
        <f aca="false">IF(C33="","",E33*H33)</f>
        <v/>
      </c>
    </row>
    <row r="34" customFormat="false" ht="15" hidden="false" customHeight="true" outlineLevel="0" collapsed="false">
      <c r="A34" s="21" t="str">
        <f aca="false">IF(C34="","",ROW()-1)</f>
        <v/>
      </c>
      <c r="B34" s="53"/>
      <c r="C34" s="22"/>
      <c r="D34" s="54" t="str">
        <f aca="false">IFERROR(VLOOKUP(C34,المخزن!$B$2:$H$201,2,FALSE()),"")</f>
        <v/>
      </c>
      <c r="E34" s="24"/>
      <c r="F34" s="26"/>
      <c r="G34" s="27" t="str">
        <f aca="false">IF(C34="","",E34*F34)</f>
        <v/>
      </c>
      <c r="H34" s="55" t="n">
        <f aca="false">IFERROR(VLOOKUP(C34,المخزن!$B$2:$H$201,7,FALSE()),0)</f>
        <v>0</v>
      </c>
      <c r="I34" s="27" t="str">
        <f aca="false">IF(C34="","",E34*H34)</f>
        <v/>
      </c>
    </row>
    <row r="35" customFormat="false" ht="15" hidden="false" customHeight="true" outlineLevel="0" collapsed="false">
      <c r="A35" s="21" t="str">
        <f aca="false">IF(C35="","",ROW()-1)</f>
        <v/>
      </c>
      <c r="B35" s="53"/>
      <c r="C35" s="22"/>
      <c r="D35" s="54" t="str">
        <f aca="false">IFERROR(VLOOKUP(C35,المخزن!$B$2:$H$201,2,FALSE()),"")</f>
        <v/>
      </c>
      <c r="E35" s="24"/>
      <c r="F35" s="26"/>
      <c r="G35" s="27" t="str">
        <f aca="false">IF(C35="","",E35*F35)</f>
        <v/>
      </c>
      <c r="H35" s="55" t="n">
        <f aca="false">IFERROR(VLOOKUP(C35,المخزن!$B$2:$H$201,7,FALSE()),0)</f>
        <v>0</v>
      </c>
      <c r="I35" s="27" t="str">
        <f aca="false">IF(C35="","",E35*H35)</f>
        <v/>
      </c>
    </row>
    <row r="36" customFormat="false" ht="15" hidden="false" customHeight="true" outlineLevel="0" collapsed="false">
      <c r="A36" s="21" t="str">
        <f aca="false">IF(C36="","",ROW()-1)</f>
        <v/>
      </c>
      <c r="B36" s="53"/>
      <c r="C36" s="22"/>
      <c r="D36" s="54" t="str">
        <f aca="false">IFERROR(VLOOKUP(C36,المخزن!$B$2:$H$201,2,FALSE()),"")</f>
        <v/>
      </c>
      <c r="E36" s="24"/>
      <c r="F36" s="26"/>
      <c r="G36" s="27" t="str">
        <f aca="false">IF(C36="","",E36*F36)</f>
        <v/>
      </c>
      <c r="H36" s="55" t="n">
        <f aca="false">IFERROR(VLOOKUP(C36,المخزن!$B$2:$H$201,7,FALSE()),0)</f>
        <v>0</v>
      </c>
      <c r="I36" s="27" t="str">
        <f aca="false">IF(C36="","",E36*H36)</f>
        <v/>
      </c>
    </row>
    <row r="37" customFormat="false" ht="15" hidden="false" customHeight="true" outlineLevel="0" collapsed="false">
      <c r="A37" s="21" t="str">
        <f aca="false">IF(C37="","",ROW()-1)</f>
        <v/>
      </c>
      <c r="B37" s="53"/>
      <c r="C37" s="22"/>
      <c r="D37" s="54" t="str">
        <f aca="false">IFERROR(VLOOKUP(C37,المخزن!$B$2:$H$201,2,FALSE()),"")</f>
        <v/>
      </c>
      <c r="E37" s="24"/>
      <c r="F37" s="26"/>
      <c r="G37" s="27" t="str">
        <f aca="false">IF(C37="","",E37*F37)</f>
        <v/>
      </c>
      <c r="H37" s="55" t="n">
        <f aca="false">IFERROR(VLOOKUP(C37,المخزن!$B$2:$H$201,7,FALSE()),0)</f>
        <v>0</v>
      </c>
      <c r="I37" s="27" t="str">
        <f aca="false">IF(C37="","",E37*H37)</f>
        <v/>
      </c>
    </row>
    <row r="38" customFormat="false" ht="15" hidden="false" customHeight="true" outlineLevel="0" collapsed="false">
      <c r="A38" s="21" t="str">
        <f aca="false">IF(C38="","",ROW()-1)</f>
        <v/>
      </c>
      <c r="B38" s="53"/>
      <c r="C38" s="22"/>
      <c r="D38" s="54" t="str">
        <f aca="false">IFERROR(VLOOKUP(C38,المخزن!$B$2:$H$201,2,FALSE()),"")</f>
        <v/>
      </c>
      <c r="E38" s="24"/>
      <c r="F38" s="26"/>
      <c r="G38" s="27" t="str">
        <f aca="false">IF(C38="","",E38*F38)</f>
        <v/>
      </c>
      <c r="H38" s="55" t="n">
        <f aca="false">IFERROR(VLOOKUP(C38,المخزن!$B$2:$H$201,7,FALSE()),0)</f>
        <v>0</v>
      </c>
      <c r="I38" s="27" t="str">
        <f aca="false">IF(C38="","",E38*H38)</f>
        <v/>
      </c>
    </row>
    <row r="39" customFormat="false" ht="15" hidden="false" customHeight="true" outlineLevel="0" collapsed="false">
      <c r="A39" s="21" t="str">
        <f aca="false">IF(C39="","",ROW()-1)</f>
        <v/>
      </c>
      <c r="B39" s="53"/>
      <c r="C39" s="22"/>
      <c r="D39" s="54" t="str">
        <f aca="false">IFERROR(VLOOKUP(C39,المخزن!$B$2:$H$201,2,FALSE()),"")</f>
        <v/>
      </c>
      <c r="E39" s="24"/>
      <c r="F39" s="26"/>
      <c r="G39" s="27" t="str">
        <f aca="false">IF(C39="","",E39*F39)</f>
        <v/>
      </c>
      <c r="H39" s="55" t="n">
        <f aca="false">IFERROR(VLOOKUP(C39,المخزن!$B$2:$H$201,7,FALSE()),0)</f>
        <v>0</v>
      </c>
      <c r="I39" s="27" t="str">
        <f aca="false">IF(C39="","",E39*H39)</f>
        <v/>
      </c>
    </row>
    <row r="40" customFormat="false" ht="15" hidden="false" customHeight="true" outlineLevel="0" collapsed="false">
      <c r="A40" s="21" t="str">
        <f aca="false">IF(C40="","",ROW()-1)</f>
        <v/>
      </c>
      <c r="B40" s="53"/>
      <c r="C40" s="22"/>
      <c r="D40" s="54" t="str">
        <f aca="false">IFERROR(VLOOKUP(C40,المخزن!$B$2:$H$201,2,FALSE()),"")</f>
        <v/>
      </c>
      <c r="E40" s="24"/>
      <c r="F40" s="26"/>
      <c r="G40" s="27" t="str">
        <f aca="false">IF(C40="","",E40*F40)</f>
        <v/>
      </c>
      <c r="H40" s="55" t="n">
        <f aca="false">IFERROR(VLOOKUP(C40,المخزن!$B$2:$H$201,7,FALSE()),0)</f>
        <v>0</v>
      </c>
      <c r="I40" s="27" t="str">
        <f aca="false">IF(C40="","",E40*H40)</f>
        <v/>
      </c>
    </row>
    <row r="41" customFormat="false" ht="15" hidden="false" customHeight="true" outlineLevel="0" collapsed="false">
      <c r="A41" s="21" t="str">
        <f aca="false">IF(C41="","",ROW()-1)</f>
        <v/>
      </c>
      <c r="B41" s="53"/>
      <c r="C41" s="22"/>
      <c r="D41" s="54" t="str">
        <f aca="false">IFERROR(VLOOKUP(C41,المخزن!$B$2:$H$201,2,FALSE()),"")</f>
        <v/>
      </c>
      <c r="E41" s="24"/>
      <c r="F41" s="26"/>
      <c r="G41" s="27" t="str">
        <f aca="false">IF(C41="","",E41*F41)</f>
        <v/>
      </c>
      <c r="H41" s="55" t="n">
        <f aca="false">IFERROR(VLOOKUP(C41,المخزن!$B$2:$H$201,7,FALSE()),0)</f>
        <v>0</v>
      </c>
      <c r="I41" s="27" t="str">
        <f aca="false">IF(C41="","",E41*H41)</f>
        <v/>
      </c>
    </row>
    <row r="42" customFormat="false" ht="15" hidden="false" customHeight="true" outlineLevel="0" collapsed="false">
      <c r="A42" s="21" t="str">
        <f aca="false">IF(C42="","",ROW()-1)</f>
        <v/>
      </c>
      <c r="B42" s="53"/>
      <c r="C42" s="22"/>
      <c r="D42" s="54" t="str">
        <f aca="false">IFERROR(VLOOKUP(C42,المخزن!$B$2:$H$201,2,FALSE()),"")</f>
        <v/>
      </c>
      <c r="E42" s="24"/>
      <c r="F42" s="26"/>
      <c r="G42" s="27" t="str">
        <f aca="false">IF(C42="","",E42*F42)</f>
        <v/>
      </c>
      <c r="H42" s="55" t="n">
        <f aca="false">IFERROR(VLOOKUP(C42,المخزن!$B$2:$H$201,7,FALSE()),0)</f>
        <v>0</v>
      </c>
      <c r="I42" s="27" t="str">
        <f aca="false">IF(C42="","",E42*H42)</f>
        <v/>
      </c>
    </row>
    <row r="43" customFormat="false" ht="15" hidden="false" customHeight="true" outlineLevel="0" collapsed="false">
      <c r="A43" s="21" t="str">
        <f aca="false">IF(C43="","",ROW()-1)</f>
        <v/>
      </c>
      <c r="B43" s="53"/>
      <c r="C43" s="22"/>
      <c r="D43" s="54" t="str">
        <f aca="false">IFERROR(VLOOKUP(C43,المخزن!$B$2:$H$201,2,FALSE()),"")</f>
        <v/>
      </c>
      <c r="E43" s="24"/>
      <c r="F43" s="26"/>
      <c r="G43" s="27" t="str">
        <f aca="false">IF(C43="","",E43*F43)</f>
        <v/>
      </c>
      <c r="H43" s="55" t="n">
        <f aca="false">IFERROR(VLOOKUP(C43,المخزن!$B$2:$H$201,7,FALSE()),0)</f>
        <v>0</v>
      </c>
      <c r="I43" s="27" t="str">
        <f aca="false">IF(C43="","",E43*H43)</f>
        <v/>
      </c>
    </row>
    <row r="44" customFormat="false" ht="15" hidden="false" customHeight="true" outlineLevel="0" collapsed="false">
      <c r="A44" s="21" t="str">
        <f aca="false">IF(C44="","",ROW()-1)</f>
        <v/>
      </c>
      <c r="B44" s="53"/>
      <c r="C44" s="22"/>
      <c r="D44" s="54" t="str">
        <f aca="false">IFERROR(VLOOKUP(C44,المخزن!$B$2:$H$201,2,FALSE()),"")</f>
        <v/>
      </c>
      <c r="E44" s="24"/>
      <c r="F44" s="26"/>
      <c r="G44" s="27" t="str">
        <f aca="false">IF(C44="","",E44*F44)</f>
        <v/>
      </c>
      <c r="H44" s="55" t="n">
        <f aca="false">IFERROR(VLOOKUP(C44,المخزن!$B$2:$H$201,7,FALSE()),0)</f>
        <v>0</v>
      </c>
      <c r="I44" s="27" t="str">
        <f aca="false">IF(C44="","",E44*H44)</f>
        <v/>
      </c>
    </row>
    <row r="45" customFormat="false" ht="15" hidden="false" customHeight="true" outlineLevel="0" collapsed="false">
      <c r="A45" s="21" t="str">
        <f aca="false">IF(C45="","",ROW()-1)</f>
        <v/>
      </c>
      <c r="B45" s="53"/>
      <c r="C45" s="22"/>
      <c r="D45" s="54" t="str">
        <f aca="false">IFERROR(VLOOKUP(C45,المخزن!$B$2:$H$201,2,FALSE()),"")</f>
        <v/>
      </c>
      <c r="E45" s="24"/>
      <c r="F45" s="26"/>
      <c r="G45" s="27" t="str">
        <f aca="false">IF(C45="","",E45*F45)</f>
        <v/>
      </c>
      <c r="H45" s="55" t="n">
        <f aca="false">IFERROR(VLOOKUP(C45,المخزن!$B$2:$H$201,7,FALSE()),0)</f>
        <v>0</v>
      </c>
      <c r="I45" s="27" t="str">
        <f aca="false">IF(C45="","",E45*H45)</f>
        <v/>
      </c>
    </row>
    <row r="46" customFormat="false" ht="15" hidden="false" customHeight="true" outlineLevel="0" collapsed="false">
      <c r="A46" s="21" t="str">
        <f aca="false">IF(C46="","",ROW()-1)</f>
        <v/>
      </c>
      <c r="B46" s="53"/>
      <c r="C46" s="22"/>
      <c r="D46" s="54" t="str">
        <f aca="false">IFERROR(VLOOKUP(C46,المخزن!$B$2:$H$201,2,FALSE()),"")</f>
        <v/>
      </c>
      <c r="E46" s="24"/>
      <c r="F46" s="26"/>
      <c r="G46" s="27" t="str">
        <f aca="false">IF(C46="","",E46*F46)</f>
        <v/>
      </c>
      <c r="H46" s="55" t="n">
        <f aca="false">IFERROR(VLOOKUP(C46,المخزن!$B$2:$H$201,7,FALSE()),0)</f>
        <v>0</v>
      </c>
      <c r="I46" s="27" t="str">
        <f aca="false">IF(C46="","",E46*H46)</f>
        <v/>
      </c>
    </row>
    <row r="47" customFormat="false" ht="15" hidden="false" customHeight="true" outlineLevel="0" collapsed="false">
      <c r="A47" s="21" t="str">
        <f aca="false">IF(C47="","",ROW()-1)</f>
        <v/>
      </c>
      <c r="B47" s="53"/>
      <c r="C47" s="22"/>
      <c r="D47" s="54" t="str">
        <f aca="false">IFERROR(VLOOKUP(C47,المخزن!$B$2:$H$201,2,FALSE()),"")</f>
        <v/>
      </c>
      <c r="E47" s="24"/>
      <c r="F47" s="26"/>
      <c r="G47" s="27" t="str">
        <f aca="false">IF(C47="","",E47*F47)</f>
        <v/>
      </c>
      <c r="H47" s="55" t="n">
        <f aca="false">IFERROR(VLOOKUP(C47,المخزن!$B$2:$H$201,7,FALSE()),0)</f>
        <v>0</v>
      </c>
      <c r="I47" s="27" t="str">
        <f aca="false">IF(C47="","",E47*H47)</f>
        <v/>
      </c>
    </row>
    <row r="48" customFormat="false" ht="15" hidden="false" customHeight="true" outlineLevel="0" collapsed="false">
      <c r="A48" s="21" t="str">
        <f aca="false">IF(C48="","",ROW()-1)</f>
        <v/>
      </c>
      <c r="B48" s="53"/>
      <c r="C48" s="22"/>
      <c r="D48" s="54" t="str">
        <f aca="false">IFERROR(VLOOKUP(C48,المخزن!$B$2:$H$201,2,FALSE()),"")</f>
        <v/>
      </c>
      <c r="E48" s="24"/>
      <c r="F48" s="26"/>
      <c r="G48" s="27" t="str">
        <f aca="false">IF(C48="","",E48*F48)</f>
        <v/>
      </c>
      <c r="H48" s="55" t="n">
        <f aca="false">IFERROR(VLOOKUP(C48,المخزن!$B$2:$H$201,7,FALSE()),0)</f>
        <v>0</v>
      </c>
      <c r="I48" s="27" t="str">
        <f aca="false">IF(C48="","",E48*H48)</f>
        <v/>
      </c>
    </row>
    <row r="49" customFormat="false" ht="15" hidden="false" customHeight="true" outlineLevel="0" collapsed="false">
      <c r="A49" s="21" t="str">
        <f aca="false">IF(C49="","",ROW()-1)</f>
        <v/>
      </c>
      <c r="B49" s="53"/>
      <c r="C49" s="22"/>
      <c r="D49" s="54" t="str">
        <f aca="false">IFERROR(VLOOKUP(C49,المخزن!$B$2:$H$201,2,FALSE()),"")</f>
        <v/>
      </c>
      <c r="E49" s="24"/>
      <c r="F49" s="26"/>
      <c r="G49" s="27" t="str">
        <f aca="false">IF(C49="","",E49*F49)</f>
        <v/>
      </c>
      <c r="H49" s="55" t="n">
        <f aca="false">IFERROR(VLOOKUP(C49,المخزن!$B$2:$H$201,7,FALSE()),0)</f>
        <v>0</v>
      </c>
      <c r="I49" s="27" t="str">
        <f aca="false">IF(C49="","",E49*H49)</f>
        <v/>
      </c>
    </row>
    <row r="50" customFormat="false" ht="15" hidden="false" customHeight="true" outlineLevel="0" collapsed="false">
      <c r="A50" s="21" t="str">
        <f aca="false">IF(C50="","",ROW()-1)</f>
        <v/>
      </c>
      <c r="B50" s="53"/>
      <c r="C50" s="22"/>
      <c r="D50" s="54" t="str">
        <f aca="false">IFERROR(VLOOKUP(C50,المخزن!$B$2:$H$201,2,FALSE()),"")</f>
        <v/>
      </c>
      <c r="E50" s="24"/>
      <c r="F50" s="26"/>
      <c r="G50" s="27" t="str">
        <f aca="false">IF(C50="","",E50*F50)</f>
        <v/>
      </c>
      <c r="H50" s="55" t="n">
        <f aca="false">IFERROR(VLOOKUP(C50,المخزن!$B$2:$H$201,7,FALSE()),0)</f>
        <v>0</v>
      </c>
      <c r="I50" s="27" t="str">
        <f aca="false">IF(C50="","",E50*H50)</f>
        <v/>
      </c>
    </row>
    <row r="51" customFormat="false" ht="15" hidden="false" customHeight="true" outlineLevel="0" collapsed="false">
      <c r="A51" s="21" t="str">
        <f aca="false">IF(C51="","",ROW()-1)</f>
        <v/>
      </c>
      <c r="B51" s="53"/>
      <c r="C51" s="22"/>
      <c r="D51" s="54" t="str">
        <f aca="false">IFERROR(VLOOKUP(C51,المخزن!$B$2:$H$201,2,FALSE()),"")</f>
        <v/>
      </c>
      <c r="E51" s="24"/>
      <c r="F51" s="26"/>
      <c r="G51" s="27" t="str">
        <f aca="false">IF(C51="","",E51*F51)</f>
        <v/>
      </c>
      <c r="H51" s="55" t="n">
        <f aca="false">IFERROR(VLOOKUP(C51,المخزن!$B$2:$H$201,7,FALSE()),0)</f>
        <v>0</v>
      </c>
      <c r="I51" s="27" t="str">
        <f aca="false">IF(C51="","",E51*H51)</f>
        <v/>
      </c>
    </row>
    <row r="52" customFormat="false" ht="15" hidden="false" customHeight="true" outlineLevel="0" collapsed="false">
      <c r="A52" s="21" t="str">
        <f aca="false">IF(C52="","",ROW()-1)</f>
        <v/>
      </c>
      <c r="B52" s="53"/>
      <c r="C52" s="22"/>
      <c r="D52" s="54" t="str">
        <f aca="false">IFERROR(VLOOKUP(C52,المخزن!$B$2:$H$201,2,FALSE()),"")</f>
        <v/>
      </c>
      <c r="E52" s="24"/>
      <c r="F52" s="26"/>
      <c r="G52" s="27" t="str">
        <f aca="false">IF(C52="","",E52*F52)</f>
        <v/>
      </c>
      <c r="H52" s="55" t="n">
        <f aca="false">IFERROR(VLOOKUP(C52,المخزن!$B$2:$H$201,7,FALSE()),0)</f>
        <v>0</v>
      </c>
      <c r="I52" s="27" t="str">
        <f aca="false">IF(C52="","",E52*H52)</f>
        <v/>
      </c>
    </row>
    <row r="53" customFormat="false" ht="15" hidden="false" customHeight="true" outlineLevel="0" collapsed="false">
      <c r="A53" s="21" t="str">
        <f aca="false">IF(C53="","",ROW()-1)</f>
        <v/>
      </c>
      <c r="B53" s="53"/>
      <c r="C53" s="22"/>
      <c r="D53" s="54" t="str">
        <f aca="false">IFERROR(VLOOKUP(C53,المخزن!$B$2:$H$201,2,FALSE()),"")</f>
        <v/>
      </c>
      <c r="E53" s="24"/>
      <c r="F53" s="26"/>
      <c r="G53" s="27" t="str">
        <f aca="false">IF(C53="","",E53*F53)</f>
        <v/>
      </c>
      <c r="H53" s="55" t="n">
        <f aca="false">IFERROR(VLOOKUP(C53,المخزن!$B$2:$H$201,7,FALSE()),0)</f>
        <v>0</v>
      </c>
      <c r="I53" s="27" t="str">
        <f aca="false">IF(C53="","",E53*H53)</f>
        <v/>
      </c>
    </row>
    <row r="54" customFormat="false" ht="15" hidden="false" customHeight="true" outlineLevel="0" collapsed="false">
      <c r="A54" s="21" t="str">
        <f aca="false">IF(C54="","",ROW()-1)</f>
        <v/>
      </c>
      <c r="B54" s="53"/>
      <c r="C54" s="22"/>
      <c r="D54" s="54" t="str">
        <f aca="false">IFERROR(VLOOKUP(C54,المخزن!$B$2:$H$201,2,FALSE()),"")</f>
        <v/>
      </c>
      <c r="E54" s="24"/>
      <c r="F54" s="26"/>
      <c r="G54" s="27" t="str">
        <f aca="false">IF(C54="","",E54*F54)</f>
        <v/>
      </c>
      <c r="H54" s="55" t="n">
        <f aca="false">IFERROR(VLOOKUP(C54,المخزن!$B$2:$H$201,7,FALSE()),0)</f>
        <v>0</v>
      </c>
      <c r="I54" s="27" t="str">
        <f aca="false">IF(C54="","",E54*H54)</f>
        <v/>
      </c>
    </row>
    <row r="55" customFormat="false" ht="15" hidden="false" customHeight="true" outlineLevel="0" collapsed="false">
      <c r="A55" s="21" t="str">
        <f aca="false">IF(C55="","",ROW()-1)</f>
        <v/>
      </c>
      <c r="B55" s="53"/>
      <c r="C55" s="22"/>
      <c r="D55" s="54" t="str">
        <f aca="false">IFERROR(VLOOKUP(C55,المخزن!$B$2:$H$201,2,FALSE()),"")</f>
        <v/>
      </c>
      <c r="E55" s="24"/>
      <c r="F55" s="26"/>
      <c r="G55" s="27" t="str">
        <f aca="false">IF(C55="","",E55*F55)</f>
        <v/>
      </c>
      <c r="H55" s="55" t="n">
        <f aca="false">IFERROR(VLOOKUP(C55,المخزن!$B$2:$H$201,7,FALSE()),0)</f>
        <v>0</v>
      </c>
      <c r="I55" s="27" t="str">
        <f aca="false">IF(C55="","",E55*H55)</f>
        <v/>
      </c>
    </row>
    <row r="56" customFormat="false" ht="15" hidden="false" customHeight="true" outlineLevel="0" collapsed="false">
      <c r="A56" s="21" t="str">
        <f aca="false">IF(C56="","",ROW()-1)</f>
        <v/>
      </c>
      <c r="B56" s="53"/>
      <c r="C56" s="22"/>
      <c r="D56" s="54" t="str">
        <f aca="false">IFERROR(VLOOKUP(C56,المخزن!$B$2:$H$201,2,FALSE()),"")</f>
        <v/>
      </c>
      <c r="E56" s="24"/>
      <c r="F56" s="26"/>
      <c r="G56" s="27" t="str">
        <f aca="false">IF(C56="","",E56*F56)</f>
        <v/>
      </c>
      <c r="H56" s="55" t="n">
        <f aca="false">IFERROR(VLOOKUP(C56,المخزن!$B$2:$H$201,7,FALSE()),0)</f>
        <v>0</v>
      </c>
      <c r="I56" s="27" t="str">
        <f aca="false">IF(C56="","",E56*H56)</f>
        <v/>
      </c>
    </row>
    <row r="57" customFormat="false" ht="15" hidden="false" customHeight="true" outlineLevel="0" collapsed="false">
      <c r="A57" s="21" t="str">
        <f aca="false">IF(C57="","",ROW()-1)</f>
        <v/>
      </c>
      <c r="B57" s="53"/>
      <c r="C57" s="22"/>
      <c r="D57" s="54" t="str">
        <f aca="false">IFERROR(VLOOKUP(C57,المخزن!$B$2:$H$201,2,FALSE()),"")</f>
        <v/>
      </c>
      <c r="E57" s="24"/>
      <c r="F57" s="26"/>
      <c r="G57" s="27" t="str">
        <f aca="false">IF(C57="","",E57*F57)</f>
        <v/>
      </c>
      <c r="H57" s="55" t="n">
        <f aca="false">IFERROR(VLOOKUP(C57,المخزن!$B$2:$H$201,7,FALSE()),0)</f>
        <v>0</v>
      </c>
      <c r="I57" s="27" t="str">
        <f aca="false">IF(C57="","",E57*H57)</f>
        <v/>
      </c>
    </row>
    <row r="58" customFormat="false" ht="15" hidden="false" customHeight="true" outlineLevel="0" collapsed="false">
      <c r="A58" s="21" t="str">
        <f aca="false">IF(C58="","",ROW()-1)</f>
        <v/>
      </c>
      <c r="B58" s="53"/>
      <c r="C58" s="22"/>
      <c r="D58" s="54" t="str">
        <f aca="false">IFERROR(VLOOKUP(C58,المخزن!$B$2:$H$201,2,FALSE()),"")</f>
        <v/>
      </c>
      <c r="E58" s="24"/>
      <c r="F58" s="26"/>
      <c r="G58" s="27" t="str">
        <f aca="false">IF(C58="","",E58*F58)</f>
        <v/>
      </c>
      <c r="H58" s="55" t="n">
        <f aca="false">IFERROR(VLOOKUP(C58,المخزن!$B$2:$H$201,7,FALSE()),0)</f>
        <v>0</v>
      </c>
      <c r="I58" s="27" t="str">
        <f aca="false">IF(C58="","",E58*H58)</f>
        <v/>
      </c>
    </row>
    <row r="59" customFormat="false" ht="15" hidden="false" customHeight="true" outlineLevel="0" collapsed="false">
      <c r="A59" s="21" t="str">
        <f aca="false">IF(C59="","",ROW()-1)</f>
        <v/>
      </c>
      <c r="B59" s="53"/>
      <c r="C59" s="22"/>
      <c r="D59" s="54" t="str">
        <f aca="false">IFERROR(VLOOKUP(C59,المخزن!$B$2:$H$201,2,FALSE()),"")</f>
        <v/>
      </c>
      <c r="E59" s="24"/>
      <c r="F59" s="26"/>
      <c r="G59" s="27" t="str">
        <f aca="false">IF(C59="","",E59*F59)</f>
        <v/>
      </c>
      <c r="H59" s="55" t="n">
        <f aca="false">IFERROR(VLOOKUP(C59,المخزن!$B$2:$H$201,7,FALSE()),0)</f>
        <v>0</v>
      </c>
      <c r="I59" s="27" t="str">
        <f aca="false">IF(C59="","",E59*H59)</f>
        <v/>
      </c>
    </row>
    <row r="60" customFormat="false" ht="15" hidden="false" customHeight="true" outlineLevel="0" collapsed="false">
      <c r="A60" s="21" t="str">
        <f aca="false">IF(C60="","",ROW()-1)</f>
        <v/>
      </c>
      <c r="B60" s="53"/>
      <c r="C60" s="22"/>
      <c r="D60" s="54" t="str">
        <f aca="false">IFERROR(VLOOKUP(C60,المخزن!$B$2:$H$201,2,FALSE()),"")</f>
        <v/>
      </c>
      <c r="E60" s="24"/>
      <c r="F60" s="26"/>
      <c r="G60" s="27" t="str">
        <f aca="false">IF(C60="","",E60*F60)</f>
        <v/>
      </c>
      <c r="H60" s="55" t="n">
        <f aca="false">IFERROR(VLOOKUP(C60,المخزن!$B$2:$H$201,7,FALSE()),0)</f>
        <v>0</v>
      </c>
      <c r="I60" s="27" t="str">
        <f aca="false">IF(C60="","",E60*H60)</f>
        <v/>
      </c>
    </row>
    <row r="61" customFormat="false" ht="15" hidden="false" customHeight="true" outlineLevel="0" collapsed="false">
      <c r="A61" s="21" t="str">
        <f aca="false">IF(C61="","",ROW()-1)</f>
        <v/>
      </c>
      <c r="B61" s="53"/>
      <c r="C61" s="22"/>
      <c r="D61" s="54" t="str">
        <f aca="false">IFERROR(VLOOKUP(C61,المخزن!$B$2:$H$201,2,FALSE()),"")</f>
        <v/>
      </c>
      <c r="E61" s="24"/>
      <c r="F61" s="26"/>
      <c r="G61" s="27" t="str">
        <f aca="false">IF(C61="","",E61*F61)</f>
        <v/>
      </c>
      <c r="H61" s="55" t="n">
        <f aca="false">IFERROR(VLOOKUP(C61,المخزن!$B$2:$H$201,7,FALSE()),0)</f>
        <v>0</v>
      </c>
      <c r="I61" s="27" t="str">
        <f aca="false">IF(C61="","",E61*H61)</f>
        <v/>
      </c>
    </row>
    <row r="62" customFormat="false" ht="15" hidden="false" customHeight="true" outlineLevel="0" collapsed="false">
      <c r="A62" s="21" t="str">
        <f aca="false">IF(C62="","",ROW()-1)</f>
        <v/>
      </c>
      <c r="B62" s="53"/>
      <c r="C62" s="22"/>
      <c r="D62" s="54" t="str">
        <f aca="false">IFERROR(VLOOKUP(C62,المخزن!$B$2:$H$201,2,FALSE()),"")</f>
        <v/>
      </c>
      <c r="E62" s="24"/>
      <c r="F62" s="26"/>
      <c r="G62" s="27" t="str">
        <f aca="false">IF(C62="","",E62*F62)</f>
        <v/>
      </c>
      <c r="H62" s="55" t="n">
        <f aca="false">IFERROR(VLOOKUP(C62,المخزن!$B$2:$H$201,7,FALSE()),0)</f>
        <v>0</v>
      </c>
      <c r="I62" s="27" t="str">
        <f aca="false">IF(C62="","",E62*H62)</f>
        <v/>
      </c>
    </row>
    <row r="63" customFormat="false" ht="15" hidden="false" customHeight="true" outlineLevel="0" collapsed="false">
      <c r="A63" s="21" t="str">
        <f aca="false">IF(C63="","",ROW()-1)</f>
        <v/>
      </c>
      <c r="B63" s="53"/>
      <c r="C63" s="22"/>
      <c r="D63" s="54" t="str">
        <f aca="false">IFERROR(VLOOKUP(C63,المخزن!$B$2:$H$201,2,FALSE()),"")</f>
        <v/>
      </c>
      <c r="E63" s="24"/>
      <c r="F63" s="26"/>
      <c r="G63" s="27" t="str">
        <f aca="false">IF(C63="","",E63*F63)</f>
        <v/>
      </c>
      <c r="H63" s="55" t="n">
        <f aca="false">IFERROR(VLOOKUP(C63,المخزن!$B$2:$H$201,7,FALSE()),0)</f>
        <v>0</v>
      </c>
      <c r="I63" s="27" t="str">
        <f aca="false">IF(C63="","",E63*H63)</f>
        <v/>
      </c>
    </row>
    <row r="64" customFormat="false" ht="15" hidden="false" customHeight="true" outlineLevel="0" collapsed="false">
      <c r="A64" s="21" t="str">
        <f aca="false">IF(C64="","",ROW()-1)</f>
        <v/>
      </c>
      <c r="B64" s="53"/>
      <c r="C64" s="22"/>
      <c r="D64" s="54" t="str">
        <f aca="false">IFERROR(VLOOKUP(C64,المخزن!$B$2:$H$201,2,FALSE()),"")</f>
        <v/>
      </c>
      <c r="E64" s="24"/>
      <c r="F64" s="26"/>
      <c r="G64" s="27" t="str">
        <f aca="false">IF(C64="","",E64*F64)</f>
        <v/>
      </c>
      <c r="H64" s="55" t="n">
        <f aca="false">IFERROR(VLOOKUP(C64,المخزن!$B$2:$H$201,7,FALSE()),0)</f>
        <v>0</v>
      </c>
      <c r="I64" s="27" t="str">
        <f aca="false">IF(C64="","",E64*H64)</f>
        <v/>
      </c>
    </row>
    <row r="65" customFormat="false" ht="15" hidden="false" customHeight="true" outlineLevel="0" collapsed="false">
      <c r="A65" s="21" t="str">
        <f aca="false">IF(C65="","",ROW()-1)</f>
        <v/>
      </c>
      <c r="B65" s="53"/>
      <c r="C65" s="22"/>
      <c r="D65" s="54" t="str">
        <f aca="false">IFERROR(VLOOKUP(C65,المخزن!$B$2:$H$201,2,FALSE()),"")</f>
        <v/>
      </c>
      <c r="E65" s="24"/>
      <c r="F65" s="26"/>
      <c r="G65" s="27" t="str">
        <f aca="false">IF(C65="","",E65*F65)</f>
        <v/>
      </c>
      <c r="H65" s="55" t="n">
        <f aca="false">IFERROR(VLOOKUP(C65,المخزن!$B$2:$H$201,7,FALSE()),0)</f>
        <v>0</v>
      </c>
      <c r="I65" s="27" t="str">
        <f aca="false">IF(C65="","",E65*H65)</f>
        <v/>
      </c>
    </row>
    <row r="66" customFormat="false" ht="15" hidden="false" customHeight="true" outlineLevel="0" collapsed="false">
      <c r="A66" s="21" t="str">
        <f aca="false">IF(C66="","",ROW()-1)</f>
        <v/>
      </c>
      <c r="B66" s="53"/>
      <c r="C66" s="22"/>
      <c r="D66" s="54" t="str">
        <f aca="false">IFERROR(VLOOKUP(C66,المخزن!$B$2:$H$201,2,FALSE()),"")</f>
        <v/>
      </c>
      <c r="E66" s="24"/>
      <c r="F66" s="26"/>
      <c r="G66" s="27" t="str">
        <f aca="false">IF(C66="","",E66*F66)</f>
        <v/>
      </c>
      <c r="H66" s="55" t="n">
        <f aca="false">IFERROR(VLOOKUP(C66,المخزن!$B$2:$H$201,7,FALSE()),0)</f>
        <v>0</v>
      </c>
      <c r="I66" s="27" t="str">
        <f aca="false">IF(C66="","",E66*H66)</f>
        <v/>
      </c>
    </row>
    <row r="67" customFormat="false" ht="15" hidden="false" customHeight="true" outlineLevel="0" collapsed="false">
      <c r="A67" s="21" t="str">
        <f aca="false">IF(C67="","",ROW()-1)</f>
        <v/>
      </c>
      <c r="B67" s="53"/>
      <c r="C67" s="22"/>
      <c r="D67" s="54" t="str">
        <f aca="false">IFERROR(VLOOKUP(C67,المخزن!$B$2:$H$201,2,FALSE()),"")</f>
        <v/>
      </c>
      <c r="E67" s="24"/>
      <c r="F67" s="26"/>
      <c r="G67" s="27" t="str">
        <f aca="false">IF(C67="","",E67*F67)</f>
        <v/>
      </c>
      <c r="H67" s="55" t="n">
        <f aca="false">IFERROR(VLOOKUP(C67,المخزن!$B$2:$H$201,7,FALSE()),0)</f>
        <v>0</v>
      </c>
      <c r="I67" s="27" t="str">
        <f aca="false">IF(C67="","",E67*H67)</f>
        <v/>
      </c>
    </row>
    <row r="68" customFormat="false" ht="15" hidden="false" customHeight="true" outlineLevel="0" collapsed="false">
      <c r="A68" s="21" t="str">
        <f aca="false">IF(C68="","",ROW()-1)</f>
        <v/>
      </c>
      <c r="B68" s="53"/>
      <c r="C68" s="22"/>
      <c r="D68" s="54" t="str">
        <f aca="false">IFERROR(VLOOKUP(C68,المخزن!$B$2:$H$201,2,FALSE()),"")</f>
        <v/>
      </c>
      <c r="E68" s="24"/>
      <c r="F68" s="26"/>
      <c r="G68" s="27" t="str">
        <f aca="false">IF(C68="","",E68*F68)</f>
        <v/>
      </c>
      <c r="H68" s="55" t="n">
        <f aca="false">IFERROR(VLOOKUP(C68,المخزن!$B$2:$H$201,7,FALSE()),0)</f>
        <v>0</v>
      </c>
      <c r="I68" s="27" t="str">
        <f aca="false">IF(C68="","",E68*H68)</f>
        <v/>
      </c>
    </row>
    <row r="69" customFormat="false" ht="15" hidden="false" customHeight="true" outlineLevel="0" collapsed="false">
      <c r="A69" s="21" t="str">
        <f aca="false">IF(C69="","",ROW()-1)</f>
        <v/>
      </c>
      <c r="B69" s="53"/>
      <c r="C69" s="22"/>
      <c r="D69" s="54" t="str">
        <f aca="false">IFERROR(VLOOKUP(C69,المخزن!$B$2:$H$201,2,FALSE()),"")</f>
        <v/>
      </c>
      <c r="E69" s="24"/>
      <c r="F69" s="26"/>
      <c r="G69" s="27" t="str">
        <f aca="false">IF(C69="","",E69*F69)</f>
        <v/>
      </c>
      <c r="H69" s="55" t="n">
        <f aca="false">IFERROR(VLOOKUP(C69,المخزن!$B$2:$H$201,7,FALSE()),0)</f>
        <v>0</v>
      </c>
      <c r="I69" s="27" t="str">
        <f aca="false">IF(C69="","",E69*H69)</f>
        <v/>
      </c>
    </row>
    <row r="70" customFormat="false" ht="15" hidden="false" customHeight="true" outlineLevel="0" collapsed="false">
      <c r="A70" s="21" t="str">
        <f aca="false">IF(C70="","",ROW()-1)</f>
        <v/>
      </c>
      <c r="B70" s="53"/>
      <c r="C70" s="22"/>
      <c r="D70" s="54" t="str">
        <f aca="false">IFERROR(VLOOKUP(C70,المخزن!$B$2:$H$201,2,FALSE()),"")</f>
        <v/>
      </c>
      <c r="E70" s="24"/>
      <c r="F70" s="26"/>
      <c r="G70" s="27" t="str">
        <f aca="false">IF(C70="","",E70*F70)</f>
        <v/>
      </c>
      <c r="H70" s="55" t="n">
        <f aca="false">IFERROR(VLOOKUP(C70,المخزن!$B$2:$H$201,7,FALSE()),0)</f>
        <v>0</v>
      </c>
      <c r="I70" s="27" t="str">
        <f aca="false">IF(C70="","",E70*H70)</f>
        <v/>
      </c>
    </row>
    <row r="71" customFormat="false" ht="15" hidden="false" customHeight="true" outlineLevel="0" collapsed="false">
      <c r="A71" s="21" t="str">
        <f aca="false">IF(C71="","",ROW()-1)</f>
        <v/>
      </c>
      <c r="B71" s="53"/>
      <c r="C71" s="22"/>
      <c r="D71" s="54" t="str">
        <f aca="false">IFERROR(VLOOKUP(C71,المخزن!$B$2:$H$201,2,FALSE()),"")</f>
        <v/>
      </c>
      <c r="E71" s="24"/>
      <c r="F71" s="26"/>
      <c r="G71" s="27" t="str">
        <f aca="false">IF(C71="","",E71*F71)</f>
        <v/>
      </c>
      <c r="H71" s="55" t="n">
        <f aca="false">IFERROR(VLOOKUP(C71,المخزن!$B$2:$H$201,7,FALSE()),0)</f>
        <v>0</v>
      </c>
      <c r="I71" s="27" t="str">
        <f aca="false">IF(C71="","",E71*H71)</f>
        <v/>
      </c>
    </row>
    <row r="72" customFormat="false" ht="15" hidden="false" customHeight="true" outlineLevel="0" collapsed="false">
      <c r="A72" s="21" t="str">
        <f aca="false">IF(C72="","",ROW()-1)</f>
        <v/>
      </c>
      <c r="B72" s="53"/>
      <c r="C72" s="22"/>
      <c r="D72" s="54" t="str">
        <f aca="false">IFERROR(VLOOKUP(C72,المخزن!$B$2:$H$201,2,FALSE()),"")</f>
        <v/>
      </c>
      <c r="E72" s="24"/>
      <c r="F72" s="26"/>
      <c r="G72" s="27" t="str">
        <f aca="false">IF(C72="","",E72*F72)</f>
        <v/>
      </c>
      <c r="H72" s="55" t="n">
        <f aca="false">IFERROR(VLOOKUP(C72,المخزن!$B$2:$H$201,7,FALSE()),0)</f>
        <v>0</v>
      </c>
      <c r="I72" s="27" t="str">
        <f aca="false">IF(C72="","",E72*H72)</f>
        <v/>
      </c>
    </row>
    <row r="73" customFormat="false" ht="15" hidden="false" customHeight="true" outlineLevel="0" collapsed="false">
      <c r="A73" s="21" t="str">
        <f aca="false">IF(C73="","",ROW()-1)</f>
        <v/>
      </c>
      <c r="B73" s="53"/>
      <c r="C73" s="22"/>
      <c r="D73" s="54" t="str">
        <f aca="false">IFERROR(VLOOKUP(C73,المخزن!$B$2:$H$201,2,FALSE()),"")</f>
        <v/>
      </c>
      <c r="E73" s="24"/>
      <c r="F73" s="26"/>
      <c r="G73" s="27" t="str">
        <f aca="false">IF(C73="","",E73*F73)</f>
        <v/>
      </c>
      <c r="H73" s="55" t="n">
        <f aca="false">IFERROR(VLOOKUP(C73,المخزن!$B$2:$H$201,7,FALSE()),0)</f>
        <v>0</v>
      </c>
      <c r="I73" s="27" t="str">
        <f aca="false">IF(C73="","",E73*H73)</f>
        <v/>
      </c>
    </row>
    <row r="74" customFormat="false" ht="15" hidden="false" customHeight="true" outlineLevel="0" collapsed="false">
      <c r="A74" s="21" t="str">
        <f aca="false">IF(C74="","",ROW()-1)</f>
        <v/>
      </c>
      <c r="B74" s="53"/>
      <c r="C74" s="22"/>
      <c r="D74" s="54" t="str">
        <f aca="false">IFERROR(VLOOKUP(C74,المخزن!$B$2:$H$201,2,FALSE()),"")</f>
        <v/>
      </c>
      <c r="E74" s="24"/>
      <c r="F74" s="26"/>
      <c r="G74" s="27" t="str">
        <f aca="false">IF(C74="","",E74*F74)</f>
        <v/>
      </c>
      <c r="H74" s="55" t="n">
        <f aca="false">IFERROR(VLOOKUP(C74,المخزن!$B$2:$H$201,7,FALSE()),0)</f>
        <v>0</v>
      </c>
      <c r="I74" s="27" t="str">
        <f aca="false">IF(C74="","",E74*H74)</f>
        <v/>
      </c>
    </row>
    <row r="75" customFormat="false" ht="15" hidden="false" customHeight="true" outlineLevel="0" collapsed="false">
      <c r="A75" s="21" t="str">
        <f aca="false">IF(C75="","",ROW()-1)</f>
        <v/>
      </c>
      <c r="B75" s="53"/>
      <c r="C75" s="22"/>
      <c r="D75" s="54" t="str">
        <f aca="false">IFERROR(VLOOKUP(C75,المخزن!$B$2:$H$201,2,FALSE()),"")</f>
        <v/>
      </c>
      <c r="E75" s="24"/>
      <c r="F75" s="26"/>
      <c r="G75" s="27" t="str">
        <f aca="false">IF(C75="","",E75*F75)</f>
        <v/>
      </c>
      <c r="H75" s="55" t="n">
        <f aca="false">IFERROR(VLOOKUP(C75,المخزن!$B$2:$H$201,7,FALSE()),0)</f>
        <v>0</v>
      </c>
      <c r="I75" s="27" t="str">
        <f aca="false">IF(C75="","",E75*H75)</f>
        <v/>
      </c>
    </row>
    <row r="76" customFormat="false" ht="15" hidden="false" customHeight="true" outlineLevel="0" collapsed="false">
      <c r="A76" s="21" t="str">
        <f aca="false">IF(C76="","",ROW()-1)</f>
        <v/>
      </c>
      <c r="B76" s="53"/>
      <c r="C76" s="22"/>
      <c r="D76" s="54" t="str">
        <f aca="false">IFERROR(VLOOKUP(C76,المخزن!$B$2:$H$201,2,FALSE()),"")</f>
        <v/>
      </c>
      <c r="E76" s="24"/>
      <c r="F76" s="26"/>
      <c r="G76" s="27" t="str">
        <f aca="false">IF(C76="","",E76*F76)</f>
        <v/>
      </c>
      <c r="H76" s="55" t="n">
        <f aca="false">IFERROR(VLOOKUP(C76,المخزن!$B$2:$H$201,7,FALSE()),0)</f>
        <v>0</v>
      </c>
      <c r="I76" s="27" t="str">
        <f aca="false">IF(C76="","",E76*H76)</f>
        <v/>
      </c>
    </row>
    <row r="77" customFormat="false" ht="15" hidden="false" customHeight="true" outlineLevel="0" collapsed="false">
      <c r="A77" s="21" t="str">
        <f aca="false">IF(C77="","",ROW()-1)</f>
        <v/>
      </c>
      <c r="B77" s="53"/>
      <c r="C77" s="22"/>
      <c r="D77" s="54" t="str">
        <f aca="false">IFERROR(VLOOKUP(C77,المخزن!$B$2:$H$201,2,FALSE()),"")</f>
        <v/>
      </c>
      <c r="E77" s="24"/>
      <c r="F77" s="26"/>
      <c r="G77" s="27" t="str">
        <f aca="false">IF(C77="","",E77*F77)</f>
        <v/>
      </c>
      <c r="H77" s="55" t="n">
        <f aca="false">IFERROR(VLOOKUP(C77,المخزن!$B$2:$H$201,7,FALSE()),0)</f>
        <v>0</v>
      </c>
      <c r="I77" s="27" t="str">
        <f aca="false">IF(C77="","",E77*H77)</f>
        <v/>
      </c>
    </row>
    <row r="78" customFormat="false" ht="15" hidden="false" customHeight="true" outlineLevel="0" collapsed="false">
      <c r="A78" s="21" t="str">
        <f aca="false">IF(C78="","",ROW()-1)</f>
        <v/>
      </c>
      <c r="B78" s="53"/>
      <c r="C78" s="22"/>
      <c r="D78" s="54" t="str">
        <f aca="false">IFERROR(VLOOKUP(C78,المخزن!$B$2:$H$201,2,FALSE()),"")</f>
        <v/>
      </c>
      <c r="E78" s="24"/>
      <c r="F78" s="26"/>
      <c r="G78" s="27" t="str">
        <f aca="false">IF(C78="","",E78*F78)</f>
        <v/>
      </c>
      <c r="H78" s="55" t="n">
        <f aca="false">IFERROR(VLOOKUP(C78,المخزن!$B$2:$H$201,7,FALSE()),0)</f>
        <v>0</v>
      </c>
      <c r="I78" s="27" t="str">
        <f aca="false">IF(C78="","",E78*H78)</f>
        <v/>
      </c>
    </row>
    <row r="79" customFormat="false" ht="15" hidden="false" customHeight="true" outlineLevel="0" collapsed="false">
      <c r="A79" s="21" t="str">
        <f aca="false">IF(C79="","",ROW()-1)</f>
        <v/>
      </c>
      <c r="B79" s="53"/>
      <c r="C79" s="22"/>
      <c r="D79" s="54" t="str">
        <f aca="false">IFERROR(VLOOKUP(C79,المخزن!$B$2:$H$201,2,FALSE()),"")</f>
        <v/>
      </c>
      <c r="E79" s="24"/>
      <c r="F79" s="26"/>
      <c r="G79" s="27" t="str">
        <f aca="false">IF(C79="","",E79*F79)</f>
        <v/>
      </c>
      <c r="H79" s="55" t="n">
        <f aca="false">IFERROR(VLOOKUP(C79,المخزن!$B$2:$H$201,7,FALSE()),0)</f>
        <v>0</v>
      </c>
      <c r="I79" s="27" t="str">
        <f aca="false">IF(C79="","",E79*H79)</f>
        <v/>
      </c>
    </row>
    <row r="80" customFormat="false" ht="15" hidden="false" customHeight="true" outlineLevel="0" collapsed="false">
      <c r="A80" s="21" t="str">
        <f aca="false">IF(C80="","",ROW()-1)</f>
        <v/>
      </c>
      <c r="B80" s="53"/>
      <c r="C80" s="22"/>
      <c r="D80" s="54" t="str">
        <f aca="false">IFERROR(VLOOKUP(C80,المخزن!$B$2:$H$201,2,FALSE()),"")</f>
        <v/>
      </c>
      <c r="E80" s="24"/>
      <c r="F80" s="26"/>
      <c r="G80" s="27" t="str">
        <f aca="false">IF(C80="","",E80*F80)</f>
        <v/>
      </c>
      <c r="H80" s="55" t="n">
        <f aca="false">IFERROR(VLOOKUP(C80,المخزن!$B$2:$H$201,7,FALSE()),0)</f>
        <v>0</v>
      </c>
      <c r="I80" s="27" t="str">
        <f aca="false">IF(C80="","",E80*H80)</f>
        <v/>
      </c>
    </row>
    <row r="81" customFormat="false" ht="15" hidden="false" customHeight="true" outlineLevel="0" collapsed="false">
      <c r="A81" s="21" t="str">
        <f aca="false">IF(C81="","",ROW()-1)</f>
        <v/>
      </c>
      <c r="B81" s="53"/>
      <c r="C81" s="22"/>
      <c r="D81" s="54" t="str">
        <f aca="false">IFERROR(VLOOKUP(C81,المخزن!$B$2:$H$201,2,FALSE()),"")</f>
        <v/>
      </c>
      <c r="E81" s="24"/>
      <c r="F81" s="26"/>
      <c r="G81" s="27" t="str">
        <f aca="false">IF(C81="","",E81*F81)</f>
        <v/>
      </c>
      <c r="H81" s="55" t="n">
        <f aca="false">IFERROR(VLOOKUP(C81,المخزن!$B$2:$H$201,7,FALSE()),0)</f>
        <v>0</v>
      </c>
      <c r="I81" s="27" t="str">
        <f aca="false">IF(C81="","",E81*H81)</f>
        <v/>
      </c>
    </row>
    <row r="82" customFormat="false" ht="15" hidden="false" customHeight="true" outlineLevel="0" collapsed="false">
      <c r="A82" s="21" t="str">
        <f aca="false">IF(C82="","",ROW()-1)</f>
        <v/>
      </c>
      <c r="B82" s="53"/>
      <c r="C82" s="22"/>
      <c r="D82" s="54" t="str">
        <f aca="false">IFERROR(VLOOKUP(C82,المخزن!$B$2:$H$201,2,FALSE()),"")</f>
        <v/>
      </c>
      <c r="E82" s="24"/>
      <c r="F82" s="26"/>
      <c r="G82" s="27" t="str">
        <f aca="false">IF(C82="","",E82*F82)</f>
        <v/>
      </c>
      <c r="H82" s="55" t="n">
        <f aca="false">IFERROR(VLOOKUP(C82,المخزن!$B$2:$H$201,7,FALSE()),0)</f>
        <v>0</v>
      </c>
      <c r="I82" s="27" t="str">
        <f aca="false">IF(C82="","",E82*H82)</f>
        <v/>
      </c>
    </row>
    <row r="83" customFormat="false" ht="15" hidden="false" customHeight="true" outlineLevel="0" collapsed="false">
      <c r="A83" s="21" t="str">
        <f aca="false">IF(C83="","",ROW()-1)</f>
        <v/>
      </c>
      <c r="B83" s="53"/>
      <c r="C83" s="22"/>
      <c r="D83" s="54" t="str">
        <f aca="false">IFERROR(VLOOKUP(C83,المخزن!$B$2:$H$201,2,FALSE()),"")</f>
        <v/>
      </c>
      <c r="E83" s="24"/>
      <c r="F83" s="26"/>
      <c r="G83" s="27" t="str">
        <f aca="false">IF(C83="","",E83*F83)</f>
        <v/>
      </c>
      <c r="H83" s="55" t="n">
        <f aca="false">IFERROR(VLOOKUP(C83,المخزن!$B$2:$H$201,7,FALSE()),0)</f>
        <v>0</v>
      </c>
      <c r="I83" s="27" t="str">
        <f aca="false">IF(C83="","",E83*H83)</f>
        <v/>
      </c>
    </row>
    <row r="84" customFormat="false" ht="15" hidden="false" customHeight="true" outlineLevel="0" collapsed="false">
      <c r="A84" s="21" t="str">
        <f aca="false">IF(C84="","",ROW()-1)</f>
        <v/>
      </c>
      <c r="B84" s="53"/>
      <c r="C84" s="22"/>
      <c r="D84" s="54" t="str">
        <f aca="false">IFERROR(VLOOKUP(C84,المخزن!$B$2:$H$201,2,FALSE()),"")</f>
        <v/>
      </c>
      <c r="E84" s="24"/>
      <c r="F84" s="26"/>
      <c r="G84" s="27" t="str">
        <f aca="false">IF(C84="","",E84*F84)</f>
        <v/>
      </c>
      <c r="H84" s="55" t="n">
        <f aca="false">IFERROR(VLOOKUP(C84,المخزن!$B$2:$H$201,7,FALSE()),0)</f>
        <v>0</v>
      </c>
      <c r="I84" s="27" t="str">
        <f aca="false">IF(C84="","",E84*H84)</f>
        <v/>
      </c>
    </row>
    <row r="85" customFormat="false" ht="15" hidden="false" customHeight="true" outlineLevel="0" collapsed="false">
      <c r="A85" s="21" t="str">
        <f aca="false">IF(C85="","",ROW()-1)</f>
        <v/>
      </c>
      <c r="B85" s="53"/>
      <c r="C85" s="22"/>
      <c r="D85" s="54" t="str">
        <f aca="false">IFERROR(VLOOKUP(C85,المخزن!$B$2:$H$201,2,FALSE()),"")</f>
        <v/>
      </c>
      <c r="E85" s="24"/>
      <c r="F85" s="26"/>
      <c r="G85" s="27" t="str">
        <f aca="false">IF(C85="","",E85*F85)</f>
        <v/>
      </c>
      <c r="H85" s="55" t="n">
        <f aca="false">IFERROR(VLOOKUP(C85,المخزن!$B$2:$H$201,7,FALSE()),0)</f>
        <v>0</v>
      </c>
      <c r="I85" s="27" t="str">
        <f aca="false">IF(C85="","",E85*H85)</f>
        <v/>
      </c>
    </row>
    <row r="86" customFormat="false" ht="15" hidden="false" customHeight="true" outlineLevel="0" collapsed="false">
      <c r="A86" s="21" t="str">
        <f aca="false">IF(C86="","",ROW()-1)</f>
        <v/>
      </c>
      <c r="B86" s="53"/>
      <c r="C86" s="22"/>
      <c r="D86" s="54" t="str">
        <f aca="false">IFERROR(VLOOKUP(C86,المخزن!$B$2:$H$201,2,FALSE()),"")</f>
        <v/>
      </c>
      <c r="E86" s="24"/>
      <c r="F86" s="26"/>
      <c r="G86" s="27" t="str">
        <f aca="false">IF(C86="","",E86*F86)</f>
        <v/>
      </c>
      <c r="H86" s="55" t="n">
        <f aca="false">IFERROR(VLOOKUP(C86,المخزن!$B$2:$H$201,7,FALSE()),0)</f>
        <v>0</v>
      </c>
      <c r="I86" s="27" t="str">
        <f aca="false">IF(C86="","",E86*H86)</f>
        <v/>
      </c>
    </row>
    <row r="87" customFormat="false" ht="15" hidden="false" customHeight="true" outlineLevel="0" collapsed="false">
      <c r="A87" s="21" t="str">
        <f aca="false">IF(C87="","",ROW()-1)</f>
        <v/>
      </c>
      <c r="B87" s="53"/>
      <c r="C87" s="22"/>
      <c r="D87" s="54" t="str">
        <f aca="false">IFERROR(VLOOKUP(C87,المخزن!$B$2:$H$201,2,FALSE()),"")</f>
        <v/>
      </c>
      <c r="E87" s="24"/>
      <c r="F87" s="26"/>
      <c r="G87" s="27" t="str">
        <f aca="false">IF(C87="","",E87*F87)</f>
        <v/>
      </c>
      <c r="H87" s="55" t="n">
        <f aca="false">IFERROR(VLOOKUP(C87,المخزن!$B$2:$H$201,7,FALSE()),0)</f>
        <v>0</v>
      </c>
      <c r="I87" s="27" t="str">
        <f aca="false">IF(C87="","",E87*H87)</f>
        <v/>
      </c>
    </row>
    <row r="88" customFormat="false" ht="15" hidden="false" customHeight="true" outlineLevel="0" collapsed="false">
      <c r="A88" s="21" t="str">
        <f aca="false">IF(C88="","",ROW()-1)</f>
        <v/>
      </c>
      <c r="B88" s="53"/>
      <c r="C88" s="22"/>
      <c r="D88" s="54" t="str">
        <f aca="false">IFERROR(VLOOKUP(C88,المخزن!$B$2:$H$201,2,FALSE()),"")</f>
        <v/>
      </c>
      <c r="E88" s="24"/>
      <c r="F88" s="26"/>
      <c r="G88" s="27" t="str">
        <f aca="false">IF(C88="","",E88*F88)</f>
        <v/>
      </c>
      <c r="H88" s="55" t="n">
        <f aca="false">IFERROR(VLOOKUP(C88,المخزن!$B$2:$H$201,7,FALSE()),0)</f>
        <v>0</v>
      </c>
      <c r="I88" s="27" t="str">
        <f aca="false">IF(C88="","",E88*H88)</f>
        <v/>
      </c>
    </row>
    <row r="89" customFormat="false" ht="15" hidden="false" customHeight="true" outlineLevel="0" collapsed="false">
      <c r="A89" s="21" t="str">
        <f aca="false">IF(C89="","",ROW()-1)</f>
        <v/>
      </c>
      <c r="B89" s="53"/>
      <c r="C89" s="22"/>
      <c r="D89" s="54" t="str">
        <f aca="false">IFERROR(VLOOKUP(C89,المخزن!$B$2:$H$201,2,FALSE()),"")</f>
        <v/>
      </c>
      <c r="E89" s="24"/>
      <c r="F89" s="26"/>
      <c r="G89" s="27" t="str">
        <f aca="false">IF(C89="","",E89*F89)</f>
        <v/>
      </c>
      <c r="H89" s="55" t="n">
        <f aca="false">IFERROR(VLOOKUP(C89,المخزن!$B$2:$H$201,7,FALSE()),0)</f>
        <v>0</v>
      </c>
      <c r="I89" s="27" t="str">
        <f aca="false">IF(C89="","",E89*H89)</f>
        <v/>
      </c>
    </row>
    <row r="90" customFormat="false" ht="15" hidden="false" customHeight="true" outlineLevel="0" collapsed="false">
      <c r="A90" s="21" t="str">
        <f aca="false">IF(C90="","",ROW()-1)</f>
        <v/>
      </c>
      <c r="B90" s="53"/>
      <c r="C90" s="22"/>
      <c r="D90" s="54" t="str">
        <f aca="false">IFERROR(VLOOKUP(C90,المخزن!$B$2:$H$201,2,FALSE()),"")</f>
        <v/>
      </c>
      <c r="E90" s="24"/>
      <c r="F90" s="26"/>
      <c r="G90" s="27" t="str">
        <f aca="false">IF(C90="","",E90*F90)</f>
        <v/>
      </c>
      <c r="H90" s="55" t="n">
        <f aca="false">IFERROR(VLOOKUP(C90,المخزن!$B$2:$H$201,7,FALSE()),0)</f>
        <v>0</v>
      </c>
      <c r="I90" s="27" t="str">
        <f aca="false">IF(C90="","",E90*H90)</f>
        <v/>
      </c>
    </row>
    <row r="91" customFormat="false" ht="15" hidden="false" customHeight="true" outlineLevel="0" collapsed="false">
      <c r="A91" s="21" t="str">
        <f aca="false">IF(C91="","",ROW()-1)</f>
        <v/>
      </c>
      <c r="B91" s="53"/>
      <c r="C91" s="22"/>
      <c r="D91" s="54" t="str">
        <f aca="false">IFERROR(VLOOKUP(C91,المخزن!$B$2:$H$201,2,FALSE()),"")</f>
        <v/>
      </c>
      <c r="E91" s="24"/>
      <c r="F91" s="26"/>
      <c r="G91" s="27" t="str">
        <f aca="false">IF(C91="","",E91*F91)</f>
        <v/>
      </c>
      <c r="H91" s="55" t="n">
        <f aca="false">IFERROR(VLOOKUP(C91,المخزن!$B$2:$H$201,7,FALSE()),0)</f>
        <v>0</v>
      </c>
      <c r="I91" s="27" t="str">
        <f aca="false">IF(C91="","",E91*H91)</f>
        <v/>
      </c>
    </row>
    <row r="92" customFormat="false" ht="15" hidden="false" customHeight="true" outlineLevel="0" collapsed="false">
      <c r="A92" s="21" t="str">
        <f aca="false">IF(C92="","",ROW()-1)</f>
        <v/>
      </c>
      <c r="B92" s="53"/>
      <c r="C92" s="22"/>
      <c r="D92" s="54" t="str">
        <f aca="false">IFERROR(VLOOKUP(C92,المخزن!$B$2:$H$201,2,FALSE()),"")</f>
        <v/>
      </c>
      <c r="E92" s="24"/>
      <c r="F92" s="26"/>
      <c r="G92" s="27" t="str">
        <f aca="false">IF(C92="","",E92*F92)</f>
        <v/>
      </c>
      <c r="H92" s="55" t="n">
        <f aca="false">IFERROR(VLOOKUP(C92,المخزن!$B$2:$H$201,7,FALSE()),0)</f>
        <v>0</v>
      </c>
      <c r="I92" s="27" t="str">
        <f aca="false">IF(C92="","",E92*H92)</f>
        <v/>
      </c>
    </row>
    <row r="93" customFormat="false" ht="15" hidden="false" customHeight="true" outlineLevel="0" collapsed="false">
      <c r="A93" s="21" t="str">
        <f aca="false">IF(C93="","",ROW()-1)</f>
        <v/>
      </c>
      <c r="B93" s="53"/>
      <c r="C93" s="22"/>
      <c r="D93" s="54" t="str">
        <f aca="false">IFERROR(VLOOKUP(C93,المخزن!$B$2:$H$201,2,FALSE()),"")</f>
        <v/>
      </c>
      <c r="E93" s="24"/>
      <c r="F93" s="26"/>
      <c r="G93" s="27" t="str">
        <f aca="false">IF(C93="","",E93*F93)</f>
        <v/>
      </c>
      <c r="H93" s="55" t="n">
        <f aca="false">IFERROR(VLOOKUP(C93,المخزن!$B$2:$H$201,7,FALSE()),0)</f>
        <v>0</v>
      </c>
      <c r="I93" s="27" t="str">
        <f aca="false">IF(C93="","",E93*H93)</f>
        <v/>
      </c>
    </row>
    <row r="94" customFormat="false" ht="15" hidden="false" customHeight="true" outlineLevel="0" collapsed="false">
      <c r="A94" s="21" t="str">
        <f aca="false">IF(C94="","",ROW()-1)</f>
        <v/>
      </c>
      <c r="B94" s="53"/>
      <c r="C94" s="22"/>
      <c r="D94" s="54" t="str">
        <f aca="false">IFERROR(VLOOKUP(C94,المخزن!$B$2:$H$201,2,FALSE()),"")</f>
        <v/>
      </c>
      <c r="E94" s="24"/>
      <c r="F94" s="26"/>
      <c r="G94" s="27" t="str">
        <f aca="false">IF(C94="","",E94*F94)</f>
        <v/>
      </c>
      <c r="H94" s="55" t="n">
        <f aca="false">IFERROR(VLOOKUP(C94,المخزن!$B$2:$H$201,7,FALSE()),0)</f>
        <v>0</v>
      </c>
      <c r="I94" s="27" t="str">
        <f aca="false">IF(C94="","",E94*H94)</f>
        <v/>
      </c>
    </row>
    <row r="95" customFormat="false" ht="15" hidden="false" customHeight="true" outlineLevel="0" collapsed="false">
      <c r="A95" s="21" t="str">
        <f aca="false">IF(C95="","",ROW()-1)</f>
        <v/>
      </c>
      <c r="B95" s="53"/>
      <c r="C95" s="22"/>
      <c r="D95" s="54" t="str">
        <f aca="false">IFERROR(VLOOKUP(C95,المخزن!$B$2:$H$201,2,FALSE()),"")</f>
        <v/>
      </c>
      <c r="E95" s="24"/>
      <c r="F95" s="26"/>
      <c r="G95" s="27" t="str">
        <f aca="false">IF(C95="","",E95*F95)</f>
        <v/>
      </c>
      <c r="H95" s="55" t="n">
        <f aca="false">IFERROR(VLOOKUP(C95,المخزن!$B$2:$H$201,7,FALSE()),0)</f>
        <v>0</v>
      </c>
      <c r="I95" s="27" t="str">
        <f aca="false">IF(C95="","",E95*H95)</f>
        <v/>
      </c>
    </row>
    <row r="96" customFormat="false" ht="15" hidden="false" customHeight="true" outlineLevel="0" collapsed="false">
      <c r="A96" s="21" t="str">
        <f aca="false">IF(C96="","",ROW()-1)</f>
        <v/>
      </c>
      <c r="B96" s="53"/>
      <c r="C96" s="22"/>
      <c r="D96" s="54" t="str">
        <f aca="false">IFERROR(VLOOKUP(C96,المخزن!$B$2:$H$201,2,FALSE()),"")</f>
        <v/>
      </c>
      <c r="E96" s="24"/>
      <c r="F96" s="26"/>
      <c r="G96" s="27" t="str">
        <f aca="false">IF(C96="","",E96*F96)</f>
        <v/>
      </c>
      <c r="H96" s="55" t="n">
        <f aca="false">IFERROR(VLOOKUP(C96,المخزن!$B$2:$H$201,7,FALSE()),0)</f>
        <v>0</v>
      </c>
      <c r="I96" s="27" t="str">
        <f aca="false">IF(C96="","",E96*H96)</f>
        <v/>
      </c>
    </row>
    <row r="97" customFormat="false" ht="15" hidden="false" customHeight="true" outlineLevel="0" collapsed="false">
      <c r="A97" s="21" t="str">
        <f aca="false">IF(C97="","",ROW()-1)</f>
        <v/>
      </c>
      <c r="B97" s="53"/>
      <c r="C97" s="22"/>
      <c r="D97" s="54" t="str">
        <f aca="false">IFERROR(VLOOKUP(C97,المخزن!$B$2:$H$201,2,FALSE()),"")</f>
        <v/>
      </c>
      <c r="E97" s="24"/>
      <c r="F97" s="26"/>
      <c r="G97" s="27" t="str">
        <f aca="false">IF(C97="","",E97*F97)</f>
        <v/>
      </c>
      <c r="H97" s="55" t="n">
        <f aca="false">IFERROR(VLOOKUP(C97,المخزن!$B$2:$H$201,7,FALSE()),0)</f>
        <v>0</v>
      </c>
      <c r="I97" s="27" t="str">
        <f aca="false">IF(C97="","",E97*H97)</f>
        <v/>
      </c>
    </row>
    <row r="98" customFormat="false" ht="15" hidden="false" customHeight="true" outlineLevel="0" collapsed="false">
      <c r="A98" s="21" t="str">
        <f aca="false">IF(C98="","",ROW()-1)</f>
        <v/>
      </c>
      <c r="B98" s="53"/>
      <c r="C98" s="22"/>
      <c r="D98" s="54" t="str">
        <f aca="false">IFERROR(VLOOKUP(C98,المخزن!$B$2:$H$201,2,FALSE()),"")</f>
        <v/>
      </c>
      <c r="E98" s="24"/>
      <c r="F98" s="26"/>
      <c r="G98" s="27" t="str">
        <f aca="false">IF(C98="","",E98*F98)</f>
        <v/>
      </c>
      <c r="H98" s="55" t="n">
        <f aca="false">IFERROR(VLOOKUP(C98,المخزن!$B$2:$H$201,7,FALSE()),0)</f>
        <v>0</v>
      </c>
      <c r="I98" s="27" t="str">
        <f aca="false">IF(C98="","",E98*H98)</f>
        <v/>
      </c>
    </row>
    <row r="99" customFormat="false" ht="15" hidden="false" customHeight="true" outlineLevel="0" collapsed="false">
      <c r="A99" s="21" t="str">
        <f aca="false">IF(C99="","",ROW()-1)</f>
        <v/>
      </c>
      <c r="B99" s="53"/>
      <c r="C99" s="22"/>
      <c r="D99" s="54" t="str">
        <f aca="false">IFERROR(VLOOKUP(C99,المخزن!$B$2:$H$201,2,FALSE()),"")</f>
        <v/>
      </c>
      <c r="E99" s="24"/>
      <c r="F99" s="26"/>
      <c r="G99" s="27" t="str">
        <f aca="false">IF(C99="","",E99*F99)</f>
        <v/>
      </c>
      <c r="H99" s="55" t="n">
        <f aca="false">IFERROR(VLOOKUP(C99,المخزن!$B$2:$H$201,7,FALSE()),0)</f>
        <v>0</v>
      </c>
      <c r="I99" s="27" t="str">
        <f aca="false">IF(C99="","",E99*H99)</f>
        <v/>
      </c>
    </row>
    <row r="100" customFormat="false" ht="15" hidden="false" customHeight="true" outlineLevel="0" collapsed="false">
      <c r="A100" s="21" t="str">
        <f aca="false">IF(C100="","",ROW()-1)</f>
        <v/>
      </c>
      <c r="B100" s="53"/>
      <c r="C100" s="22"/>
      <c r="D100" s="54" t="str">
        <f aca="false">IFERROR(VLOOKUP(C100,المخزن!$B$2:$H$201,2,FALSE()),"")</f>
        <v/>
      </c>
      <c r="E100" s="24"/>
      <c r="F100" s="26"/>
      <c r="G100" s="27" t="str">
        <f aca="false">IF(C100="","",E100*F100)</f>
        <v/>
      </c>
      <c r="H100" s="55" t="n">
        <f aca="false">IFERROR(VLOOKUP(C100,المخزن!$B$2:$H$201,7,FALSE()),0)</f>
        <v>0</v>
      </c>
      <c r="I100" s="27" t="str">
        <f aca="false">IF(C100="","",E100*H100)</f>
        <v/>
      </c>
    </row>
    <row r="101" customFormat="false" ht="15" hidden="false" customHeight="true" outlineLevel="0" collapsed="false">
      <c r="A101" s="21" t="str">
        <f aca="false">IF(C101="","",ROW()-1)</f>
        <v/>
      </c>
      <c r="B101" s="53"/>
      <c r="C101" s="22"/>
      <c r="D101" s="54" t="str">
        <f aca="false">IFERROR(VLOOKUP(C101,المخزن!$B$2:$H$201,2,FALSE()),"")</f>
        <v/>
      </c>
      <c r="E101" s="24"/>
      <c r="F101" s="26"/>
      <c r="G101" s="27" t="str">
        <f aca="false">IF(C101="","",E101*F101)</f>
        <v/>
      </c>
      <c r="H101" s="55" t="n">
        <f aca="false">IFERROR(VLOOKUP(C101,المخزن!$B$2:$H$201,7,FALSE()),0)</f>
        <v>0</v>
      </c>
      <c r="I101" s="27" t="str">
        <f aca="false">IF(C101="","",E101*H101)</f>
        <v/>
      </c>
    </row>
    <row r="102" customFormat="false" ht="15" hidden="false" customHeight="true" outlineLevel="0" collapsed="false">
      <c r="A102" s="21" t="str">
        <f aca="false">IF(C102="","",ROW()-1)</f>
        <v/>
      </c>
      <c r="B102" s="53"/>
      <c r="C102" s="22"/>
      <c r="D102" s="54" t="str">
        <f aca="false">IFERROR(VLOOKUP(C102,المخزن!$B$2:$H$201,2,FALSE()),"")</f>
        <v/>
      </c>
      <c r="E102" s="24"/>
      <c r="F102" s="26"/>
      <c r="G102" s="27" t="str">
        <f aca="false">IF(C102="","",E102*F102)</f>
        <v/>
      </c>
      <c r="H102" s="55" t="n">
        <f aca="false">IFERROR(VLOOKUP(C102,المخزن!$B$2:$H$201,7,FALSE()),0)</f>
        <v>0</v>
      </c>
      <c r="I102" s="27" t="str">
        <f aca="false">IF(C102="","",E102*H102)</f>
        <v/>
      </c>
    </row>
    <row r="103" customFormat="false" ht="15" hidden="false" customHeight="true" outlineLevel="0" collapsed="false">
      <c r="A103" s="21" t="str">
        <f aca="false">IF(C103="","",ROW()-1)</f>
        <v/>
      </c>
      <c r="B103" s="53"/>
      <c r="C103" s="22"/>
      <c r="D103" s="54" t="str">
        <f aca="false">IFERROR(VLOOKUP(C103,المخزن!$B$2:$H$201,2,FALSE()),"")</f>
        <v/>
      </c>
      <c r="E103" s="24"/>
      <c r="F103" s="26"/>
      <c r="G103" s="27" t="str">
        <f aca="false">IF(C103="","",E103*F103)</f>
        <v/>
      </c>
      <c r="H103" s="55" t="n">
        <f aca="false">IFERROR(VLOOKUP(C103,المخزن!$B$2:$H$201,7,FALSE()),0)</f>
        <v>0</v>
      </c>
      <c r="I103" s="27" t="str">
        <f aca="false">IF(C103="","",E103*H103)</f>
        <v/>
      </c>
    </row>
    <row r="104" customFormat="false" ht="15" hidden="false" customHeight="true" outlineLevel="0" collapsed="false">
      <c r="A104" s="21" t="str">
        <f aca="false">IF(C104="","",ROW()-1)</f>
        <v/>
      </c>
      <c r="B104" s="53"/>
      <c r="C104" s="22"/>
      <c r="D104" s="54" t="str">
        <f aca="false">IFERROR(VLOOKUP(C104,المخزن!$B$2:$H$201,2,FALSE()),"")</f>
        <v/>
      </c>
      <c r="E104" s="24"/>
      <c r="F104" s="26"/>
      <c r="G104" s="27" t="str">
        <f aca="false">IF(C104="","",E104*F104)</f>
        <v/>
      </c>
      <c r="H104" s="55" t="n">
        <f aca="false">IFERROR(VLOOKUP(C104,المخزن!$B$2:$H$201,7,FALSE()),0)</f>
        <v>0</v>
      </c>
      <c r="I104" s="27" t="str">
        <f aca="false">IF(C104="","",E104*H104)</f>
        <v/>
      </c>
    </row>
    <row r="105" customFormat="false" ht="15" hidden="false" customHeight="true" outlineLevel="0" collapsed="false">
      <c r="A105" s="21" t="str">
        <f aca="false">IF(C105="","",ROW()-1)</f>
        <v/>
      </c>
      <c r="B105" s="53"/>
      <c r="C105" s="22"/>
      <c r="D105" s="54" t="str">
        <f aca="false">IFERROR(VLOOKUP(C105,المخزن!$B$2:$H$201,2,FALSE()),"")</f>
        <v/>
      </c>
      <c r="E105" s="24"/>
      <c r="F105" s="26"/>
      <c r="G105" s="27" t="str">
        <f aca="false">IF(C105="","",E105*F105)</f>
        <v/>
      </c>
      <c r="H105" s="55" t="n">
        <f aca="false">IFERROR(VLOOKUP(C105,المخزن!$B$2:$H$201,7,FALSE()),0)</f>
        <v>0</v>
      </c>
      <c r="I105" s="27" t="str">
        <f aca="false">IF(C105="","",E105*H105)</f>
        <v/>
      </c>
    </row>
    <row r="106" customFormat="false" ht="15" hidden="false" customHeight="true" outlineLevel="0" collapsed="false">
      <c r="A106" s="21" t="str">
        <f aca="false">IF(C106="","",ROW()-1)</f>
        <v/>
      </c>
      <c r="B106" s="53"/>
      <c r="C106" s="22"/>
      <c r="D106" s="54" t="str">
        <f aca="false">IFERROR(VLOOKUP(C106,المخزن!$B$2:$H$201,2,FALSE()),"")</f>
        <v/>
      </c>
      <c r="E106" s="24"/>
      <c r="F106" s="26"/>
      <c r="G106" s="27" t="str">
        <f aca="false">IF(C106="","",E106*F106)</f>
        <v/>
      </c>
      <c r="H106" s="55" t="n">
        <f aca="false">IFERROR(VLOOKUP(C106,المخزن!$B$2:$H$201,7,FALSE()),0)</f>
        <v>0</v>
      </c>
      <c r="I106" s="27" t="str">
        <f aca="false">IF(C106="","",E106*H106)</f>
        <v/>
      </c>
    </row>
    <row r="107" customFormat="false" ht="15" hidden="false" customHeight="true" outlineLevel="0" collapsed="false">
      <c r="A107" s="21" t="str">
        <f aca="false">IF(C107="","",ROW()-1)</f>
        <v/>
      </c>
      <c r="B107" s="53"/>
      <c r="C107" s="22"/>
      <c r="D107" s="54" t="str">
        <f aca="false">IFERROR(VLOOKUP(C107,المخزن!$B$2:$H$201,2,FALSE()),"")</f>
        <v/>
      </c>
      <c r="E107" s="24"/>
      <c r="F107" s="26"/>
      <c r="G107" s="27" t="str">
        <f aca="false">IF(C107="","",E107*F107)</f>
        <v/>
      </c>
      <c r="H107" s="55" t="n">
        <f aca="false">IFERROR(VLOOKUP(C107,المخزن!$B$2:$H$201,7,FALSE()),0)</f>
        <v>0</v>
      </c>
      <c r="I107" s="27" t="str">
        <f aca="false">IF(C107="","",E107*H107)</f>
        <v/>
      </c>
    </row>
    <row r="108" customFormat="false" ht="15" hidden="false" customHeight="true" outlineLevel="0" collapsed="false">
      <c r="A108" s="21" t="str">
        <f aca="false">IF(C108="","",ROW()-1)</f>
        <v/>
      </c>
      <c r="B108" s="53"/>
      <c r="C108" s="22"/>
      <c r="D108" s="54" t="str">
        <f aca="false">IFERROR(VLOOKUP(C108,المخزن!$B$2:$H$201,2,FALSE()),"")</f>
        <v/>
      </c>
      <c r="E108" s="24"/>
      <c r="F108" s="26"/>
      <c r="G108" s="27" t="str">
        <f aca="false">IF(C108="","",E108*F108)</f>
        <v/>
      </c>
      <c r="H108" s="55" t="n">
        <f aca="false">IFERROR(VLOOKUP(C108,المخزن!$B$2:$H$201,7,FALSE()),0)</f>
        <v>0</v>
      </c>
      <c r="I108" s="27" t="str">
        <f aca="false">IF(C108="","",E108*H108)</f>
        <v/>
      </c>
    </row>
    <row r="109" customFormat="false" ht="15" hidden="false" customHeight="true" outlineLevel="0" collapsed="false">
      <c r="A109" s="21" t="str">
        <f aca="false">IF(C109="","",ROW()-1)</f>
        <v/>
      </c>
      <c r="B109" s="53"/>
      <c r="C109" s="22"/>
      <c r="D109" s="54" t="str">
        <f aca="false">IFERROR(VLOOKUP(C109,المخزن!$B$2:$H$201,2,FALSE()),"")</f>
        <v/>
      </c>
      <c r="E109" s="24"/>
      <c r="F109" s="26"/>
      <c r="G109" s="27" t="str">
        <f aca="false">IF(C109="","",E109*F109)</f>
        <v/>
      </c>
      <c r="H109" s="55" t="n">
        <f aca="false">IFERROR(VLOOKUP(C109,المخزن!$B$2:$H$201,7,FALSE()),0)</f>
        <v>0</v>
      </c>
      <c r="I109" s="27" t="str">
        <f aca="false">IF(C109="","",E109*H109)</f>
        <v/>
      </c>
    </row>
    <row r="110" customFormat="false" ht="15" hidden="false" customHeight="true" outlineLevel="0" collapsed="false">
      <c r="A110" s="21" t="str">
        <f aca="false">IF(C110="","",ROW()-1)</f>
        <v/>
      </c>
      <c r="B110" s="53"/>
      <c r="C110" s="22"/>
      <c r="D110" s="54" t="str">
        <f aca="false">IFERROR(VLOOKUP(C110,المخزن!$B$2:$H$201,2,FALSE()),"")</f>
        <v/>
      </c>
      <c r="E110" s="24"/>
      <c r="F110" s="26"/>
      <c r="G110" s="27" t="str">
        <f aca="false">IF(C110="","",E110*F110)</f>
        <v/>
      </c>
      <c r="H110" s="55" t="n">
        <f aca="false">IFERROR(VLOOKUP(C110,المخزن!$B$2:$H$201,7,FALSE()),0)</f>
        <v>0</v>
      </c>
      <c r="I110" s="27" t="str">
        <f aca="false">IF(C110="","",E110*H110)</f>
        <v/>
      </c>
    </row>
    <row r="111" customFormat="false" ht="15" hidden="false" customHeight="true" outlineLevel="0" collapsed="false">
      <c r="A111" s="21" t="str">
        <f aca="false">IF(C111="","",ROW()-1)</f>
        <v/>
      </c>
      <c r="B111" s="53"/>
      <c r="C111" s="22"/>
      <c r="D111" s="54" t="str">
        <f aca="false">IFERROR(VLOOKUP(C111,المخزن!$B$2:$H$201,2,FALSE()),"")</f>
        <v/>
      </c>
      <c r="E111" s="24"/>
      <c r="F111" s="26"/>
      <c r="G111" s="27" t="str">
        <f aca="false">IF(C111="","",E111*F111)</f>
        <v/>
      </c>
      <c r="H111" s="55" t="n">
        <f aca="false">IFERROR(VLOOKUP(C111,المخزن!$B$2:$H$201,7,FALSE()),0)</f>
        <v>0</v>
      </c>
      <c r="I111" s="27" t="str">
        <f aca="false">IF(C111="","",E111*H111)</f>
        <v/>
      </c>
    </row>
    <row r="112" customFormat="false" ht="15" hidden="false" customHeight="true" outlineLevel="0" collapsed="false">
      <c r="A112" s="21" t="str">
        <f aca="false">IF(C112="","",ROW()-1)</f>
        <v/>
      </c>
      <c r="B112" s="53"/>
      <c r="C112" s="22"/>
      <c r="D112" s="54" t="str">
        <f aca="false">IFERROR(VLOOKUP(C112,المخزن!$B$2:$H$201,2,FALSE()),"")</f>
        <v/>
      </c>
      <c r="E112" s="24"/>
      <c r="F112" s="26"/>
      <c r="G112" s="27" t="str">
        <f aca="false">IF(C112="","",E112*F112)</f>
        <v/>
      </c>
      <c r="H112" s="55" t="n">
        <f aca="false">IFERROR(VLOOKUP(C112,المخزن!$B$2:$H$201,7,FALSE()),0)</f>
        <v>0</v>
      </c>
      <c r="I112" s="27" t="str">
        <f aca="false">IF(C112="","",E112*H112)</f>
        <v/>
      </c>
    </row>
    <row r="113" customFormat="false" ht="15" hidden="false" customHeight="true" outlineLevel="0" collapsed="false">
      <c r="A113" s="21" t="str">
        <f aca="false">IF(C113="","",ROW()-1)</f>
        <v/>
      </c>
      <c r="B113" s="53"/>
      <c r="C113" s="22"/>
      <c r="D113" s="54" t="str">
        <f aca="false">IFERROR(VLOOKUP(C113,المخزن!$B$2:$H$201,2,FALSE()),"")</f>
        <v/>
      </c>
      <c r="E113" s="24"/>
      <c r="F113" s="26"/>
      <c r="G113" s="27" t="str">
        <f aca="false">IF(C113="","",E113*F113)</f>
        <v/>
      </c>
      <c r="H113" s="55" t="n">
        <f aca="false">IFERROR(VLOOKUP(C113,المخزن!$B$2:$H$201,7,FALSE()),0)</f>
        <v>0</v>
      </c>
      <c r="I113" s="27" t="str">
        <f aca="false">IF(C113="","",E113*H113)</f>
        <v/>
      </c>
    </row>
    <row r="114" customFormat="false" ht="15" hidden="false" customHeight="true" outlineLevel="0" collapsed="false">
      <c r="A114" s="21" t="str">
        <f aca="false">IF(C114="","",ROW()-1)</f>
        <v/>
      </c>
      <c r="B114" s="53"/>
      <c r="C114" s="22"/>
      <c r="D114" s="54" t="str">
        <f aca="false">IFERROR(VLOOKUP(C114,المخزن!$B$2:$H$201,2,FALSE()),"")</f>
        <v/>
      </c>
      <c r="E114" s="24"/>
      <c r="F114" s="26"/>
      <c r="G114" s="27" t="str">
        <f aca="false">IF(C114="","",E114*F114)</f>
        <v/>
      </c>
      <c r="H114" s="55" t="n">
        <f aca="false">IFERROR(VLOOKUP(C114,المخزن!$B$2:$H$201,7,FALSE()),0)</f>
        <v>0</v>
      </c>
      <c r="I114" s="27" t="str">
        <f aca="false">IF(C114="","",E114*H114)</f>
        <v/>
      </c>
    </row>
    <row r="115" customFormat="false" ht="15" hidden="false" customHeight="true" outlineLevel="0" collapsed="false">
      <c r="A115" s="21" t="str">
        <f aca="false">IF(C115="","",ROW()-1)</f>
        <v/>
      </c>
      <c r="B115" s="53"/>
      <c r="C115" s="22"/>
      <c r="D115" s="54" t="str">
        <f aca="false">IFERROR(VLOOKUP(C115,المخزن!$B$2:$H$201,2,FALSE()),"")</f>
        <v/>
      </c>
      <c r="E115" s="24"/>
      <c r="F115" s="26"/>
      <c r="G115" s="27" t="str">
        <f aca="false">IF(C115="","",E115*F115)</f>
        <v/>
      </c>
      <c r="H115" s="55" t="n">
        <f aca="false">IFERROR(VLOOKUP(C115,المخزن!$B$2:$H$201,7,FALSE()),0)</f>
        <v>0</v>
      </c>
      <c r="I115" s="27" t="str">
        <f aca="false">IF(C115="","",E115*H115)</f>
        <v/>
      </c>
    </row>
    <row r="116" customFormat="false" ht="15" hidden="false" customHeight="true" outlineLevel="0" collapsed="false">
      <c r="A116" s="21" t="str">
        <f aca="false">IF(C116="","",ROW()-1)</f>
        <v/>
      </c>
      <c r="B116" s="53"/>
      <c r="C116" s="22"/>
      <c r="D116" s="54" t="str">
        <f aca="false">IFERROR(VLOOKUP(C116,المخزن!$B$2:$H$201,2,FALSE()),"")</f>
        <v/>
      </c>
      <c r="E116" s="24"/>
      <c r="F116" s="26"/>
      <c r="G116" s="27" t="str">
        <f aca="false">IF(C116="","",E116*F116)</f>
        <v/>
      </c>
      <c r="H116" s="55" t="n">
        <f aca="false">IFERROR(VLOOKUP(C116,المخزن!$B$2:$H$201,7,FALSE()),0)</f>
        <v>0</v>
      </c>
      <c r="I116" s="27" t="str">
        <f aca="false">IF(C116="","",E116*H116)</f>
        <v/>
      </c>
    </row>
    <row r="117" customFormat="false" ht="15" hidden="false" customHeight="true" outlineLevel="0" collapsed="false">
      <c r="A117" s="21" t="str">
        <f aca="false">IF(C117="","",ROW()-1)</f>
        <v/>
      </c>
      <c r="B117" s="53"/>
      <c r="C117" s="22"/>
      <c r="D117" s="54" t="str">
        <f aca="false">IFERROR(VLOOKUP(C117,المخزن!$B$2:$H$201,2,FALSE()),"")</f>
        <v/>
      </c>
      <c r="E117" s="24"/>
      <c r="F117" s="26"/>
      <c r="G117" s="27" t="str">
        <f aca="false">IF(C117="","",E117*F117)</f>
        <v/>
      </c>
      <c r="H117" s="55" t="n">
        <f aca="false">IFERROR(VLOOKUP(C117,المخزن!$B$2:$H$201,7,FALSE()),0)</f>
        <v>0</v>
      </c>
      <c r="I117" s="27" t="str">
        <f aca="false">IF(C117="","",E117*H117)</f>
        <v/>
      </c>
    </row>
    <row r="118" customFormat="false" ht="15" hidden="false" customHeight="true" outlineLevel="0" collapsed="false">
      <c r="A118" s="21" t="str">
        <f aca="false">IF(C118="","",ROW()-1)</f>
        <v/>
      </c>
      <c r="B118" s="53"/>
      <c r="C118" s="22"/>
      <c r="D118" s="54" t="str">
        <f aca="false">IFERROR(VLOOKUP(C118,المخزن!$B$2:$H$201,2,FALSE()),"")</f>
        <v/>
      </c>
      <c r="E118" s="24"/>
      <c r="F118" s="26"/>
      <c r="G118" s="27" t="str">
        <f aca="false">IF(C118="","",E118*F118)</f>
        <v/>
      </c>
      <c r="H118" s="55" t="n">
        <f aca="false">IFERROR(VLOOKUP(C118,المخزن!$B$2:$H$201,7,FALSE()),0)</f>
        <v>0</v>
      </c>
      <c r="I118" s="27" t="str">
        <f aca="false">IF(C118="","",E118*H118)</f>
        <v/>
      </c>
    </row>
    <row r="119" customFormat="false" ht="15" hidden="false" customHeight="true" outlineLevel="0" collapsed="false">
      <c r="A119" s="21" t="str">
        <f aca="false">IF(C119="","",ROW()-1)</f>
        <v/>
      </c>
      <c r="B119" s="53"/>
      <c r="C119" s="22"/>
      <c r="D119" s="54" t="str">
        <f aca="false">IFERROR(VLOOKUP(C119,المخزن!$B$2:$H$201,2,FALSE()),"")</f>
        <v/>
      </c>
      <c r="E119" s="24"/>
      <c r="F119" s="26"/>
      <c r="G119" s="27" t="str">
        <f aca="false">IF(C119="","",E119*F119)</f>
        <v/>
      </c>
      <c r="H119" s="55" t="n">
        <f aca="false">IFERROR(VLOOKUP(C119,المخزن!$B$2:$H$201,7,FALSE()),0)</f>
        <v>0</v>
      </c>
      <c r="I119" s="27" t="str">
        <f aca="false">IF(C119="","",E119*H119)</f>
        <v/>
      </c>
    </row>
    <row r="120" customFormat="false" ht="15" hidden="false" customHeight="true" outlineLevel="0" collapsed="false">
      <c r="A120" s="21" t="str">
        <f aca="false">IF(C120="","",ROW()-1)</f>
        <v/>
      </c>
      <c r="B120" s="53"/>
      <c r="C120" s="22"/>
      <c r="D120" s="54" t="str">
        <f aca="false">IFERROR(VLOOKUP(C120,المخزن!$B$2:$H$201,2,FALSE()),"")</f>
        <v/>
      </c>
      <c r="E120" s="24"/>
      <c r="F120" s="26"/>
      <c r="G120" s="27" t="str">
        <f aca="false">IF(C120="","",E120*F120)</f>
        <v/>
      </c>
      <c r="H120" s="55" t="n">
        <f aca="false">IFERROR(VLOOKUP(C120,المخزن!$B$2:$H$201,7,FALSE()),0)</f>
        <v>0</v>
      </c>
      <c r="I120" s="27" t="str">
        <f aca="false">IF(C120="","",E120*H120)</f>
        <v/>
      </c>
    </row>
    <row r="121" customFormat="false" ht="15" hidden="false" customHeight="true" outlineLevel="0" collapsed="false">
      <c r="A121" s="21" t="str">
        <f aca="false">IF(C121="","",ROW()-1)</f>
        <v/>
      </c>
      <c r="B121" s="53"/>
      <c r="C121" s="22"/>
      <c r="D121" s="54" t="str">
        <f aca="false">IFERROR(VLOOKUP(C121,المخزن!$B$2:$H$201,2,FALSE()),"")</f>
        <v/>
      </c>
      <c r="E121" s="24"/>
      <c r="F121" s="26"/>
      <c r="G121" s="27" t="str">
        <f aca="false">IF(C121="","",E121*F121)</f>
        <v/>
      </c>
      <c r="H121" s="55" t="n">
        <f aca="false">IFERROR(VLOOKUP(C121,المخزن!$B$2:$H$201,7,FALSE()),0)</f>
        <v>0</v>
      </c>
      <c r="I121" s="27" t="str">
        <f aca="false">IF(C121="","",E121*H121)</f>
        <v/>
      </c>
    </row>
    <row r="122" customFormat="false" ht="15" hidden="false" customHeight="true" outlineLevel="0" collapsed="false">
      <c r="A122" s="21" t="str">
        <f aca="false">IF(C122="","",ROW()-1)</f>
        <v/>
      </c>
      <c r="B122" s="53"/>
      <c r="C122" s="22"/>
      <c r="D122" s="54" t="str">
        <f aca="false">IFERROR(VLOOKUP(C122,المخزن!$B$2:$H$201,2,FALSE()),"")</f>
        <v/>
      </c>
      <c r="E122" s="24"/>
      <c r="F122" s="26"/>
      <c r="G122" s="27" t="str">
        <f aca="false">IF(C122="","",E122*F122)</f>
        <v/>
      </c>
      <c r="H122" s="55" t="n">
        <f aca="false">IFERROR(VLOOKUP(C122,المخزن!$B$2:$H$201,7,FALSE()),0)</f>
        <v>0</v>
      </c>
      <c r="I122" s="27" t="str">
        <f aca="false">IF(C122="","",E122*H122)</f>
        <v/>
      </c>
    </row>
    <row r="123" customFormat="false" ht="15" hidden="false" customHeight="true" outlineLevel="0" collapsed="false">
      <c r="A123" s="21" t="str">
        <f aca="false">IF(C123="","",ROW()-1)</f>
        <v/>
      </c>
      <c r="B123" s="53"/>
      <c r="C123" s="22"/>
      <c r="D123" s="54" t="str">
        <f aca="false">IFERROR(VLOOKUP(C123,المخزن!$B$2:$H$201,2,FALSE()),"")</f>
        <v/>
      </c>
      <c r="E123" s="24"/>
      <c r="F123" s="26"/>
      <c r="G123" s="27" t="str">
        <f aca="false">IF(C123="","",E123*F123)</f>
        <v/>
      </c>
      <c r="H123" s="55" t="n">
        <f aca="false">IFERROR(VLOOKUP(C123,المخزن!$B$2:$H$201,7,FALSE()),0)</f>
        <v>0</v>
      </c>
      <c r="I123" s="27" t="str">
        <f aca="false">IF(C123="","",E123*H123)</f>
        <v/>
      </c>
    </row>
    <row r="124" customFormat="false" ht="15" hidden="false" customHeight="true" outlineLevel="0" collapsed="false">
      <c r="A124" s="21" t="str">
        <f aca="false">IF(C124="","",ROW()-1)</f>
        <v/>
      </c>
      <c r="B124" s="53"/>
      <c r="C124" s="22"/>
      <c r="D124" s="54" t="str">
        <f aca="false">IFERROR(VLOOKUP(C124,المخزن!$B$2:$H$201,2,FALSE()),"")</f>
        <v/>
      </c>
      <c r="E124" s="24"/>
      <c r="F124" s="26"/>
      <c r="G124" s="27" t="str">
        <f aca="false">IF(C124="","",E124*F124)</f>
        <v/>
      </c>
      <c r="H124" s="55" t="n">
        <f aca="false">IFERROR(VLOOKUP(C124,المخزن!$B$2:$H$201,7,FALSE()),0)</f>
        <v>0</v>
      </c>
      <c r="I124" s="27" t="str">
        <f aca="false">IF(C124="","",E124*H124)</f>
        <v/>
      </c>
    </row>
    <row r="125" customFormat="false" ht="15" hidden="false" customHeight="true" outlineLevel="0" collapsed="false">
      <c r="A125" s="21" t="str">
        <f aca="false">IF(C125="","",ROW()-1)</f>
        <v/>
      </c>
      <c r="B125" s="53"/>
      <c r="C125" s="22"/>
      <c r="D125" s="54" t="str">
        <f aca="false">IFERROR(VLOOKUP(C125,المخزن!$B$2:$H$201,2,FALSE()),"")</f>
        <v/>
      </c>
      <c r="E125" s="24"/>
      <c r="F125" s="26"/>
      <c r="G125" s="27" t="str">
        <f aca="false">IF(C125="","",E125*F125)</f>
        <v/>
      </c>
      <c r="H125" s="55" t="n">
        <f aca="false">IFERROR(VLOOKUP(C125,المخزن!$B$2:$H$201,7,FALSE()),0)</f>
        <v>0</v>
      </c>
      <c r="I125" s="27" t="str">
        <f aca="false">IF(C125="","",E125*H125)</f>
        <v/>
      </c>
    </row>
    <row r="126" customFormat="false" ht="15" hidden="false" customHeight="true" outlineLevel="0" collapsed="false">
      <c r="A126" s="21" t="str">
        <f aca="false">IF(C126="","",ROW()-1)</f>
        <v/>
      </c>
      <c r="B126" s="53"/>
      <c r="C126" s="22"/>
      <c r="D126" s="54" t="str">
        <f aca="false">IFERROR(VLOOKUP(C126,المخزن!$B$2:$H$201,2,FALSE()),"")</f>
        <v/>
      </c>
      <c r="E126" s="24"/>
      <c r="F126" s="26"/>
      <c r="G126" s="27" t="str">
        <f aca="false">IF(C126="","",E126*F126)</f>
        <v/>
      </c>
      <c r="H126" s="55" t="n">
        <f aca="false">IFERROR(VLOOKUP(C126,المخزن!$B$2:$H$201,7,FALSE()),0)</f>
        <v>0</v>
      </c>
      <c r="I126" s="27" t="str">
        <f aca="false">IF(C126="","",E126*H126)</f>
        <v/>
      </c>
    </row>
    <row r="127" customFormat="false" ht="15" hidden="false" customHeight="true" outlineLevel="0" collapsed="false">
      <c r="A127" s="21" t="str">
        <f aca="false">IF(C127="","",ROW()-1)</f>
        <v/>
      </c>
      <c r="B127" s="53"/>
      <c r="C127" s="22"/>
      <c r="D127" s="54" t="str">
        <f aca="false">IFERROR(VLOOKUP(C127,المخزن!$B$2:$H$201,2,FALSE()),"")</f>
        <v/>
      </c>
      <c r="E127" s="24"/>
      <c r="F127" s="26"/>
      <c r="G127" s="27" t="str">
        <f aca="false">IF(C127="","",E127*F127)</f>
        <v/>
      </c>
      <c r="H127" s="55" t="n">
        <f aca="false">IFERROR(VLOOKUP(C127,المخزن!$B$2:$H$201,7,FALSE()),0)</f>
        <v>0</v>
      </c>
      <c r="I127" s="27" t="str">
        <f aca="false">IF(C127="","",E127*H127)</f>
        <v/>
      </c>
    </row>
    <row r="128" customFormat="false" ht="15" hidden="false" customHeight="true" outlineLevel="0" collapsed="false">
      <c r="A128" s="21" t="str">
        <f aca="false">IF(C128="","",ROW()-1)</f>
        <v/>
      </c>
      <c r="B128" s="53"/>
      <c r="C128" s="22"/>
      <c r="D128" s="54" t="str">
        <f aca="false">IFERROR(VLOOKUP(C128,المخزن!$B$2:$H$201,2,FALSE()),"")</f>
        <v/>
      </c>
      <c r="E128" s="24"/>
      <c r="F128" s="26"/>
      <c r="G128" s="27" t="str">
        <f aca="false">IF(C128="","",E128*F128)</f>
        <v/>
      </c>
      <c r="H128" s="55" t="n">
        <f aca="false">IFERROR(VLOOKUP(C128,المخزن!$B$2:$H$201,7,FALSE()),0)</f>
        <v>0</v>
      </c>
      <c r="I128" s="27" t="str">
        <f aca="false">IF(C128="","",E128*H128)</f>
        <v/>
      </c>
    </row>
    <row r="129" customFormat="false" ht="15" hidden="false" customHeight="true" outlineLevel="0" collapsed="false">
      <c r="A129" s="21" t="str">
        <f aca="false">IF(C129="","",ROW()-1)</f>
        <v/>
      </c>
      <c r="B129" s="53"/>
      <c r="C129" s="22"/>
      <c r="D129" s="54" t="str">
        <f aca="false">IFERROR(VLOOKUP(C129,المخزن!$B$2:$H$201,2,FALSE()),"")</f>
        <v/>
      </c>
      <c r="E129" s="24"/>
      <c r="F129" s="26"/>
      <c r="G129" s="27" t="str">
        <f aca="false">IF(C129="","",E129*F129)</f>
        <v/>
      </c>
      <c r="H129" s="55" t="n">
        <f aca="false">IFERROR(VLOOKUP(C129,المخزن!$B$2:$H$201,7,FALSE()),0)</f>
        <v>0</v>
      </c>
      <c r="I129" s="27" t="str">
        <f aca="false">IF(C129="","",E129*H129)</f>
        <v/>
      </c>
    </row>
    <row r="130" customFormat="false" ht="15" hidden="false" customHeight="true" outlineLevel="0" collapsed="false">
      <c r="A130" s="21" t="str">
        <f aca="false">IF(C130="","",ROW()-1)</f>
        <v/>
      </c>
      <c r="B130" s="53"/>
      <c r="C130" s="22"/>
      <c r="D130" s="54" t="str">
        <f aca="false">IFERROR(VLOOKUP(C130,المخزن!$B$2:$H$201,2,FALSE()),"")</f>
        <v/>
      </c>
      <c r="E130" s="24"/>
      <c r="F130" s="26"/>
      <c r="G130" s="27" t="str">
        <f aca="false">IF(C130="","",E130*F130)</f>
        <v/>
      </c>
      <c r="H130" s="55" t="n">
        <f aca="false">IFERROR(VLOOKUP(C130,المخزن!$B$2:$H$201,7,FALSE()),0)</f>
        <v>0</v>
      </c>
      <c r="I130" s="27" t="str">
        <f aca="false">IF(C130="","",E130*H130)</f>
        <v/>
      </c>
    </row>
    <row r="131" customFormat="false" ht="15" hidden="false" customHeight="true" outlineLevel="0" collapsed="false">
      <c r="A131" s="21" t="str">
        <f aca="false">IF(C131="","",ROW()-1)</f>
        <v/>
      </c>
      <c r="B131" s="53"/>
      <c r="C131" s="22"/>
      <c r="D131" s="54" t="str">
        <f aca="false">IFERROR(VLOOKUP(C131,المخزن!$B$2:$H$201,2,FALSE()),"")</f>
        <v/>
      </c>
      <c r="E131" s="24"/>
      <c r="F131" s="26"/>
      <c r="G131" s="27" t="str">
        <f aca="false">IF(C131="","",E131*F131)</f>
        <v/>
      </c>
      <c r="H131" s="55" t="n">
        <f aca="false">IFERROR(VLOOKUP(C131,المخزن!$B$2:$H$201,7,FALSE()),0)</f>
        <v>0</v>
      </c>
      <c r="I131" s="27" t="str">
        <f aca="false">IF(C131="","",E131*H131)</f>
        <v/>
      </c>
    </row>
    <row r="132" customFormat="false" ht="15" hidden="false" customHeight="true" outlineLevel="0" collapsed="false">
      <c r="A132" s="21" t="str">
        <f aca="false">IF(C132="","",ROW()-1)</f>
        <v/>
      </c>
      <c r="B132" s="53"/>
      <c r="C132" s="22"/>
      <c r="D132" s="54" t="str">
        <f aca="false">IFERROR(VLOOKUP(C132,المخزن!$B$2:$H$201,2,FALSE()),"")</f>
        <v/>
      </c>
      <c r="E132" s="24"/>
      <c r="F132" s="26"/>
      <c r="G132" s="27" t="str">
        <f aca="false">IF(C132="","",E132*F132)</f>
        <v/>
      </c>
      <c r="H132" s="55" t="n">
        <f aca="false">IFERROR(VLOOKUP(C132,المخزن!$B$2:$H$201,7,FALSE()),0)</f>
        <v>0</v>
      </c>
      <c r="I132" s="27" t="str">
        <f aca="false">IF(C132="","",E132*H132)</f>
        <v/>
      </c>
    </row>
    <row r="133" customFormat="false" ht="15" hidden="false" customHeight="true" outlineLevel="0" collapsed="false">
      <c r="A133" s="21" t="str">
        <f aca="false">IF(C133="","",ROW()-1)</f>
        <v/>
      </c>
      <c r="B133" s="53"/>
      <c r="C133" s="22"/>
      <c r="D133" s="54" t="str">
        <f aca="false">IFERROR(VLOOKUP(C133,المخزن!$B$2:$H$201,2,FALSE()),"")</f>
        <v/>
      </c>
      <c r="E133" s="24"/>
      <c r="F133" s="26"/>
      <c r="G133" s="27" t="str">
        <f aca="false">IF(C133="","",E133*F133)</f>
        <v/>
      </c>
      <c r="H133" s="55" t="n">
        <f aca="false">IFERROR(VLOOKUP(C133,المخزن!$B$2:$H$201,7,FALSE()),0)</f>
        <v>0</v>
      </c>
      <c r="I133" s="27" t="str">
        <f aca="false">IF(C133="","",E133*H133)</f>
        <v/>
      </c>
    </row>
    <row r="134" customFormat="false" ht="15" hidden="false" customHeight="true" outlineLevel="0" collapsed="false">
      <c r="A134" s="21" t="str">
        <f aca="false">IF(C134="","",ROW()-1)</f>
        <v/>
      </c>
      <c r="B134" s="53"/>
      <c r="C134" s="22"/>
      <c r="D134" s="54" t="str">
        <f aca="false">IFERROR(VLOOKUP(C134,المخزن!$B$2:$H$201,2,FALSE()),"")</f>
        <v/>
      </c>
      <c r="E134" s="24"/>
      <c r="F134" s="26"/>
      <c r="G134" s="27" t="str">
        <f aca="false">IF(C134="","",E134*F134)</f>
        <v/>
      </c>
      <c r="H134" s="55" t="n">
        <f aca="false">IFERROR(VLOOKUP(C134,المخزن!$B$2:$H$201,7,FALSE()),0)</f>
        <v>0</v>
      </c>
      <c r="I134" s="27" t="str">
        <f aca="false">IF(C134="","",E134*H134)</f>
        <v/>
      </c>
    </row>
    <row r="135" customFormat="false" ht="15" hidden="false" customHeight="true" outlineLevel="0" collapsed="false">
      <c r="A135" s="21" t="str">
        <f aca="false">IF(C135="","",ROW()-1)</f>
        <v/>
      </c>
      <c r="B135" s="53"/>
      <c r="C135" s="22"/>
      <c r="D135" s="54" t="str">
        <f aca="false">IFERROR(VLOOKUP(C135,المخزن!$B$2:$H$201,2,FALSE()),"")</f>
        <v/>
      </c>
      <c r="E135" s="24"/>
      <c r="F135" s="26"/>
      <c r="G135" s="27" t="str">
        <f aca="false">IF(C135="","",E135*F135)</f>
        <v/>
      </c>
      <c r="H135" s="55" t="n">
        <f aca="false">IFERROR(VLOOKUP(C135,المخزن!$B$2:$H$201,7,FALSE()),0)</f>
        <v>0</v>
      </c>
      <c r="I135" s="27" t="str">
        <f aca="false">IF(C135="","",E135*H135)</f>
        <v/>
      </c>
    </row>
    <row r="136" customFormat="false" ht="15" hidden="false" customHeight="true" outlineLevel="0" collapsed="false">
      <c r="A136" s="21" t="str">
        <f aca="false">IF(C136="","",ROW()-1)</f>
        <v/>
      </c>
      <c r="B136" s="53"/>
      <c r="C136" s="22"/>
      <c r="D136" s="54" t="str">
        <f aca="false">IFERROR(VLOOKUP(C136,المخزن!$B$2:$H$201,2,FALSE()),"")</f>
        <v/>
      </c>
      <c r="E136" s="24"/>
      <c r="F136" s="26"/>
      <c r="G136" s="27" t="str">
        <f aca="false">IF(C136="","",E136*F136)</f>
        <v/>
      </c>
      <c r="H136" s="55" t="n">
        <f aca="false">IFERROR(VLOOKUP(C136,المخزن!$B$2:$H$201,7,FALSE()),0)</f>
        <v>0</v>
      </c>
      <c r="I136" s="27" t="str">
        <f aca="false">IF(C136="","",E136*H136)</f>
        <v/>
      </c>
    </row>
    <row r="137" customFormat="false" ht="15" hidden="false" customHeight="true" outlineLevel="0" collapsed="false">
      <c r="A137" s="21" t="str">
        <f aca="false">IF(C137="","",ROW()-1)</f>
        <v/>
      </c>
      <c r="B137" s="53"/>
      <c r="C137" s="22"/>
      <c r="D137" s="54" t="str">
        <f aca="false">IFERROR(VLOOKUP(C137,المخزن!$B$2:$H$201,2,FALSE()),"")</f>
        <v/>
      </c>
      <c r="E137" s="24"/>
      <c r="F137" s="26"/>
      <c r="G137" s="27" t="str">
        <f aca="false">IF(C137="","",E137*F137)</f>
        <v/>
      </c>
      <c r="H137" s="55" t="n">
        <f aca="false">IFERROR(VLOOKUP(C137,المخزن!$B$2:$H$201,7,FALSE()),0)</f>
        <v>0</v>
      </c>
      <c r="I137" s="27" t="str">
        <f aca="false">IF(C137="","",E137*H137)</f>
        <v/>
      </c>
    </row>
    <row r="138" customFormat="false" ht="15" hidden="false" customHeight="true" outlineLevel="0" collapsed="false">
      <c r="A138" s="21" t="str">
        <f aca="false">IF(C138="","",ROW()-1)</f>
        <v/>
      </c>
      <c r="B138" s="53"/>
      <c r="C138" s="22"/>
      <c r="D138" s="54" t="str">
        <f aca="false">IFERROR(VLOOKUP(C138,المخزن!$B$2:$H$201,2,FALSE()),"")</f>
        <v/>
      </c>
      <c r="E138" s="24"/>
      <c r="F138" s="26"/>
      <c r="G138" s="27" t="str">
        <f aca="false">IF(C138="","",E138*F138)</f>
        <v/>
      </c>
      <c r="H138" s="55" t="n">
        <f aca="false">IFERROR(VLOOKUP(C138,المخزن!$B$2:$H$201,7,FALSE()),0)</f>
        <v>0</v>
      </c>
      <c r="I138" s="27" t="str">
        <f aca="false">IF(C138="","",E138*H138)</f>
        <v/>
      </c>
    </row>
    <row r="139" customFormat="false" ht="15" hidden="false" customHeight="true" outlineLevel="0" collapsed="false">
      <c r="A139" s="21" t="str">
        <f aca="false">IF(C139="","",ROW()-1)</f>
        <v/>
      </c>
      <c r="B139" s="53"/>
      <c r="C139" s="22"/>
      <c r="D139" s="54" t="str">
        <f aca="false">IFERROR(VLOOKUP(C139,المخزن!$B$2:$H$201,2,FALSE()),"")</f>
        <v/>
      </c>
      <c r="E139" s="24"/>
      <c r="F139" s="26"/>
      <c r="G139" s="27" t="str">
        <f aca="false">IF(C139="","",E139*F139)</f>
        <v/>
      </c>
      <c r="H139" s="55" t="n">
        <f aca="false">IFERROR(VLOOKUP(C139,المخزن!$B$2:$H$201,7,FALSE()),0)</f>
        <v>0</v>
      </c>
      <c r="I139" s="27" t="str">
        <f aca="false">IF(C139="","",E139*H139)</f>
        <v/>
      </c>
    </row>
    <row r="140" customFormat="false" ht="15" hidden="false" customHeight="true" outlineLevel="0" collapsed="false">
      <c r="A140" s="21" t="str">
        <f aca="false">IF(C140="","",ROW()-1)</f>
        <v/>
      </c>
      <c r="B140" s="53"/>
      <c r="C140" s="22"/>
      <c r="D140" s="54" t="str">
        <f aca="false">IFERROR(VLOOKUP(C140,المخزن!$B$2:$H$201,2,FALSE()),"")</f>
        <v/>
      </c>
      <c r="E140" s="24"/>
      <c r="F140" s="26"/>
      <c r="G140" s="27" t="str">
        <f aca="false">IF(C140="","",E140*F140)</f>
        <v/>
      </c>
      <c r="H140" s="55" t="n">
        <f aca="false">IFERROR(VLOOKUP(C140,المخزن!$B$2:$H$201,7,FALSE()),0)</f>
        <v>0</v>
      </c>
      <c r="I140" s="27" t="str">
        <f aca="false">IF(C140="","",E140*H140)</f>
        <v/>
      </c>
    </row>
    <row r="141" customFormat="false" ht="15" hidden="false" customHeight="true" outlineLevel="0" collapsed="false">
      <c r="A141" s="21" t="str">
        <f aca="false">IF(C141="","",ROW()-1)</f>
        <v/>
      </c>
      <c r="B141" s="53"/>
      <c r="C141" s="22"/>
      <c r="D141" s="54" t="str">
        <f aca="false">IFERROR(VLOOKUP(C141,المخزن!$B$2:$H$201,2,FALSE()),"")</f>
        <v/>
      </c>
      <c r="E141" s="24"/>
      <c r="F141" s="26"/>
      <c r="G141" s="27" t="str">
        <f aca="false">IF(C141="","",E141*F141)</f>
        <v/>
      </c>
      <c r="H141" s="55" t="n">
        <f aca="false">IFERROR(VLOOKUP(C141,المخزن!$B$2:$H$201,7,FALSE()),0)</f>
        <v>0</v>
      </c>
      <c r="I141" s="27" t="str">
        <f aca="false">IF(C141="","",E141*H141)</f>
        <v/>
      </c>
    </row>
    <row r="142" customFormat="false" ht="15" hidden="false" customHeight="true" outlineLevel="0" collapsed="false">
      <c r="A142" s="21" t="str">
        <f aca="false">IF(C142="","",ROW()-1)</f>
        <v/>
      </c>
      <c r="B142" s="53"/>
      <c r="C142" s="22"/>
      <c r="D142" s="54" t="str">
        <f aca="false">IFERROR(VLOOKUP(C142,المخزن!$B$2:$H$201,2,FALSE()),"")</f>
        <v/>
      </c>
      <c r="E142" s="24"/>
      <c r="F142" s="26"/>
      <c r="G142" s="27" t="str">
        <f aca="false">IF(C142="","",E142*F142)</f>
        <v/>
      </c>
      <c r="H142" s="55" t="n">
        <f aca="false">IFERROR(VLOOKUP(C142,المخزن!$B$2:$H$201,7,FALSE()),0)</f>
        <v>0</v>
      </c>
      <c r="I142" s="27" t="str">
        <f aca="false">IF(C142="","",E142*H142)</f>
        <v/>
      </c>
    </row>
    <row r="143" customFormat="false" ht="15" hidden="false" customHeight="true" outlineLevel="0" collapsed="false">
      <c r="A143" s="21" t="str">
        <f aca="false">IF(C143="","",ROW()-1)</f>
        <v/>
      </c>
      <c r="B143" s="53"/>
      <c r="C143" s="22"/>
      <c r="D143" s="54" t="str">
        <f aca="false">IFERROR(VLOOKUP(C143,المخزن!$B$2:$H$201,2,FALSE()),"")</f>
        <v/>
      </c>
      <c r="E143" s="24"/>
      <c r="F143" s="26"/>
      <c r="G143" s="27" t="str">
        <f aca="false">IF(C143="","",E143*F143)</f>
        <v/>
      </c>
      <c r="H143" s="55" t="n">
        <f aca="false">IFERROR(VLOOKUP(C143,المخزن!$B$2:$H$201,7,FALSE()),0)</f>
        <v>0</v>
      </c>
      <c r="I143" s="27" t="str">
        <f aca="false">IF(C143="","",E143*H143)</f>
        <v/>
      </c>
    </row>
    <row r="144" customFormat="false" ht="15" hidden="false" customHeight="true" outlineLevel="0" collapsed="false">
      <c r="A144" s="21" t="str">
        <f aca="false">IF(C144="","",ROW()-1)</f>
        <v/>
      </c>
      <c r="B144" s="53"/>
      <c r="C144" s="22"/>
      <c r="D144" s="54" t="str">
        <f aca="false">IFERROR(VLOOKUP(C144,المخزن!$B$2:$H$201,2,FALSE()),"")</f>
        <v/>
      </c>
      <c r="E144" s="24"/>
      <c r="F144" s="26"/>
      <c r="G144" s="27" t="str">
        <f aca="false">IF(C144="","",E144*F144)</f>
        <v/>
      </c>
      <c r="H144" s="55" t="n">
        <f aca="false">IFERROR(VLOOKUP(C144,المخزن!$B$2:$H$201,7,FALSE()),0)</f>
        <v>0</v>
      </c>
      <c r="I144" s="27" t="str">
        <f aca="false">IF(C144="","",E144*H144)</f>
        <v/>
      </c>
    </row>
    <row r="145" customFormat="false" ht="15" hidden="false" customHeight="true" outlineLevel="0" collapsed="false">
      <c r="A145" s="21" t="str">
        <f aca="false">IF(C145="","",ROW()-1)</f>
        <v/>
      </c>
      <c r="B145" s="53"/>
      <c r="C145" s="22"/>
      <c r="D145" s="54" t="str">
        <f aca="false">IFERROR(VLOOKUP(C145,المخزن!$B$2:$H$201,2,FALSE()),"")</f>
        <v/>
      </c>
      <c r="E145" s="24"/>
      <c r="F145" s="26"/>
      <c r="G145" s="27" t="str">
        <f aca="false">IF(C145="","",E145*F145)</f>
        <v/>
      </c>
      <c r="H145" s="55" t="n">
        <f aca="false">IFERROR(VLOOKUP(C145,المخزن!$B$2:$H$201,7,FALSE()),0)</f>
        <v>0</v>
      </c>
      <c r="I145" s="27" t="str">
        <f aca="false">IF(C145="","",E145*H145)</f>
        <v/>
      </c>
    </row>
    <row r="146" customFormat="false" ht="15" hidden="false" customHeight="true" outlineLevel="0" collapsed="false">
      <c r="A146" s="21" t="str">
        <f aca="false">IF(C146="","",ROW()-1)</f>
        <v/>
      </c>
      <c r="B146" s="53"/>
      <c r="C146" s="22"/>
      <c r="D146" s="54" t="str">
        <f aca="false">IFERROR(VLOOKUP(C146,المخزن!$B$2:$H$201,2,FALSE()),"")</f>
        <v/>
      </c>
      <c r="E146" s="24"/>
      <c r="F146" s="26"/>
      <c r="G146" s="27" t="str">
        <f aca="false">IF(C146="","",E146*F146)</f>
        <v/>
      </c>
      <c r="H146" s="55" t="n">
        <f aca="false">IFERROR(VLOOKUP(C146,المخزن!$B$2:$H$201,7,FALSE()),0)</f>
        <v>0</v>
      </c>
      <c r="I146" s="27" t="str">
        <f aca="false">IF(C146="","",E146*H146)</f>
        <v/>
      </c>
    </row>
    <row r="147" customFormat="false" ht="15" hidden="false" customHeight="true" outlineLevel="0" collapsed="false">
      <c r="A147" s="21" t="str">
        <f aca="false">IF(C147="","",ROW()-1)</f>
        <v/>
      </c>
      <c r="B147" s="53"/>
      <c r="C147" s="22"/>
      <c r="D147" s="54" t="str">
        <f aca="false">IFERROR(VLOOKUP(C147,المخزن!$B$2:$H$201,2,FALSE()),"")</f>
        <v/>
      </c>
      <c r="E147" s="24"/>
      <c r="F147" s="26"/>
      <c r="G147" s="27" t="str">
        <f aca="false">IF(C147="","",E147*F147)</f>
        <v/>
      </c>
      <c r="H147" s="55" t="n">
        <f aca="false">IFERROR(VLOOKUP(C147,المخزن!$B$2:$H$201,7,FALSE()),0)</f>
        <v>0</v>
      </c>
      <c r="I147" s="27" t="str">
        <f aca="false">IF(C147="","",E147*H147)</f>
        <v/>
      </c>
    </row>
    <row r="148" customFormat="false" ht="15" hidden="false" customHeight="true" outlineLevel="0" collapsed="false">
      <c r="A148" s="21" t="str">
        <f aca="false">IF(C148="","",ROW()-1)</f>
        <v/>
      </c>
      <c r="B148" s="53"/>
      <c r="C148" s="22"/>
      <c r="D148" s="54" t="str">
        <f aca="false">IFERROR(VLOOKUP(C148,المخزن!$B$2:$H$201,2,FALSE()),"")</f>
        <v/>
      </c>
      <c r="E148" s="24"/>
      <c r="F148" s="26"/>
      <c r="G148" s="27" t="str">
        <f aca="false">IF(C148="","",E148*F148)</f>
        <v/>
      </c>
      <c r="H148" s="55" t="n">
        <f aca="false">IFERROR(VLOOKUP(C148,المخزن!$B$2:$H$201,7,FALSE()),0)</f>
        <v>0</v>
      </c>
      <c r="I148" s="27" t="str">
        <f aca="false">IF(C148="","",E148*H148)</f>
        <v/>
      </c>
    </row>
    <row r="149" customFormat="false" ht="15" hidden="false" customHeight="true" outlineLevel="0" collapsed="false">
      <c r="A149" s="21" t="str">
        <f aca="false">IF(C149="","",ROW()-1)</f>
        <v/>
      </c>
      <c r="B149" s="53"/>
      <c r="C149" s="22"/>
      <c r="D149" s="54" t="str">
        <f aca="false">IFERROR(VLOOKUP(C149,المخزن!$B$2:$H$201,2,FALSE()),"")</f>
        <v/>
      </c>
      <c r="E149" s="24"/>
      <c r="F149" s="26"/>
      <c r="G149" s="27" t="str">
        <f aca="false">IF(C149="","",E149*F149)</f>
        <v/>
      </c>
      <c r="H149" s="55" t="n">
        <f aca="false">IFERROR(VLOOKUP(C149,المخزن!$B$2:$H$201,7,FALSE()),0)</f>
        <v>0</v>
      </c>
      <c r="I149" s="27" t="str">
        <f aca="false">IF(C149="","",E149*H149)</f>
        <v/>
      </c>
    </row>
    <row r="150" customFormat="false" ht="15" hidden="false" customHeight="true" outlineLevel="0" collapsed="false">
      <c r="A150" s="21" t="str">
        <f aca="false">IF(C150="","",ROW()-1)</f>
        <v/>
      </c>
      <c r="B150" s="53"/>
      <c r="C150" s="22"/>
      <c r="D150" s="54" t="str">
        <f aca="false">IFERROR(VLOOKUP(C150,المخزن!$B$2:$H$201,2,FALSE()),"")</f>
        <v/>
      </c>
      <c r="E150" s="24"/>
      <c r="F150" s="26"/>
      <c r="G150" s="27" t="str">
        <f aca="false">IF(C150="","",E150*F150)</f>
        <v/>
      </c>
      <c r="H150" s="55" t="n">
        <f aca="false">IFERROR(VLOOKUP(C150,المخزن!$B$2:$H$201,7,FALSE()),0)</f>
        <v>0</v>
      </c>
      <c r="I150" s="27" t="str">
        <f aca="false">IF(C150="","",E150*H150)</f>
        <v/>
      </c>
    </row>
    <row r="151" customFormat="false" ht="15" hidden="false" customHeight="true" outlineLevel="0" collapsed="false">
      <c r="A151" s="21" t="str">
        <f aca="false">IF(C151="","",ROW()-1)</f>
        <v/>
      </c>
      <c r="B151" s="53"/>
      <c r="C151" s="22"/>
      <c r="D151" s="54" t="str">
        <f aca="false">IFERROR(VLOOKUP(C151,المخزن!$B$2:$H$201,2,FALSE()),"")</f>
        <v/>
      </c>
      <c r="E151" s="24"/>
      <c r="F151" s="26"/>
      <c r="G151" s="27" t="str">
        <f aca="false">IF(C151="","",E151*F151)</f>
        <v/>
      </c>
      <c r="H151" s="55" t="n">
        <f aca="false">IFERROR(VLOOKUP(C151,المخزن!$B$2:$H$201,7,FALSE()),0)</f>
        <v>0</v>
      </c>
      <c r="I151" s="27" t="str">
        <f aca="false">IF(C151="","",E151*H151)</f>
        <v/>
      </c>
    </row>
    <row r="152" customFormat="false" ht="15" hidden="false" customHeight="true" outlineLevel="0" collapsed="false">
      <c r="A152" s="21" t="str">
        <f aca="false">IF(C152="","",ROW()-1)</f>
        <v/>
      </c>
      <c r="B152" s="53"/>
      <c r="C152" s="22"/>
      <c r="D152" s="54" t="str">
        <f aca="false">IFERROR(VLOOKUP(C152,المخزن!$B$2:$H$201,2,FALSE()),"")</f>
        <v/>
      </c>
      <c r="E152" s="24"/>
      <c r="F152" s="26"/>
      <c r="G152" s="27" t="str">
        <f aca="false">IF(C152="","",E152*F152)</f>
        <v/>
      </c>
      <c r="H152" s="55" t="n">
        <f aca="false">IFERROR(VLOOKUP(C152,المخزن!$B$2:$H$201,7,FALSE()),0)</f>
        <v>0</v>
      </c>
      <c r="I152" s="27" t="str">
        <f aca="false">IF(C152="","",E152*H152)</f>
        <v/>
      </c>
    </row>
    <row r="153" customFormat="false" ht="15" hidden="false" customHeight="true" outlineLevel="0" collapsed="false">
      <c r="A153" s="21" t="str">
        <f aca="false">IF(C153="","",ROW()-1)</f>
        <v/>
      </c>
      <c r="B153" s="53"/>
      <c r="C153" s="22"/>
      <c r="D153" s="54" t="str">
        <f aca="false">IFERROR(VLOOKUP(C153,المخزن!$B$2:$H$201,2,FALSE()),"")</f>
        <v/>
      </c>
      <c r="E153" s="24"/>
      <c r="F153" s="26"/>
      <c r="G153" s="27" t="str">
        <f aca="false">IF(C153="","",E153*F153)</f>
        <v/>
      </c>
      <c r="H153" s="55" t="n">
        <f aca="false">IFERROR(VLOOKUP(C153,المخزن!$B$2:$H$201,7,FALSE()),0)</f>
        <v>0</v>
      </c>
      <c r="I153" s="27" t="str">
        <f aca="false">IF(C153="","",E153*H153)</f>
        <v/>
      </c>
    </row>
    <row r="154" customFormat="false" ht="15" hidden="false" customHeight="true" outlineLevel="0" collapsed="false">
      <c r="A154" s="21" t="str">
        <f aca="false">IF(C154="","",ROW()-1)</f>
        <v/>
      </c>
      <c r="B154" s="53"/>
      <c r="C154" s="22"/>
      <c r="D154" s="54" t="str">
        <f aca="false">IFERROR(VLOOKUP(C154,المخزن!$B$2:$H$201,2,FALSE()),"")</f>
        <v/>
      </c>
      <c r="E154" s="24"/>
      <c r="F154" s="26"/>
      <c r="G154" s="27" t="str">
        <f aca="false">IF(C154="","",E154*F154)</f>
        <v/>
      </c>
      <c r="H154" s="55" t="n">
        <f aca="false">IFERROR(VLOOKUP(C154,المخزن!$B$2:$H$201,7,FALSE()),0)</f>
        <v>0</v>
      </c>
      <c r="I154" s="27" t="str">
        <f aca="false">IF(C154="","",E154*H154)</f>
        <v/>
      </c>
    </row>
    <row r="155" customFormat="false" ht="15" hidden="false" customHeight="true" outlineLevel="0" collapsed="false">
      <c r="A155" s="21" t="str">
        <f aca="false">IF(C155="","",ROW()-1)</f>
        <v/>
      </c>
      <c r="B155" s="53"/>
      <c r="C155" s="22"/>
      <c r="D155" s="54" t="str">
        <f aca="false">IFERROR(VLOOKUP(C155,المخزن!$B$2:$H$201,2,FALSE()),"")</f>
        <v/>
      </c>
      <c r="E155" s="24"/>
      <c r="F155" s="26"/>
      <c r="G155" s="27" t="str">
        <f aca="false">IF(C155="","",E155*F155)</f>
        <v/>
      </c>
      <c r="H155" s="55" t="n">
        <f aca="false">IFERROR(VLOOKUP(C155,المخزن!$B$2:$H$201,7,FALSE()),0)</f>
        <v>0</v>
      </c>
      <c r="I155" s="27" t="str">
        <f aca="false">IF(C155="","",E155*H155)</f>
        <v/>
      </c>
    </row>
    <row r="156" customFormat="false" ht="15" hidden="false" customHeight="true" outlineLevel="0" collapsed="false">
      <c r="A156" s="21" t="str">
        <f aca="false">IF(C156="","",ROW()-1)</f>
        <v/>
      </c>
      <c r="B156" s="53"/>
      <c r="C156" s="22"/>
      <c r="D156" s="54" t="str">
        <f aca="false">IFERROR(VLOOKUP(C156,المخزن!$B$2:$H$201,2,FALSE()),"")</f>
        <v/>
      </c>
      <c r="E156" s="24"/>
      <c r="F156" s="26"/>
      <c r="G156" s="27" t="str">
        <f aca="false">IF(C156="","",E156*F156)</f>
        <v/>
      </c>
      <c r="H156" s="55" t="n">
        <f aca="false">IFERROR(VLOOKUP(C156,المخزن!$B$2:$H$201,7,FALSE()),0)</f>
        <v>0</v>
      </c>
      <c r="I156" s="27" t="str">
        <f aca="false">IF(C156="","",E156*H156)</f>
        <v/>
      </c>
    </row>
    <row r="157" customFormat="false" ht="15" hidden="false" customHeight="true" outlineLevel="0" collapsed="false">
      <c r="A157" s="21" t="str">
        <f aca="false">IF(C157="","",ROW()-1)</f>
        <v/>
      </c>
      <c r="B157" s="53"/>
      <c r="C157" s="22"/>
      <c r="D157" s="54" t="str">
        <f aca="false">IFERROR(VLOOKUP(C157,المخزن!$B$2:$H$201,2,FALSE()),"")</f>
        <v/>
      </c>
      <c r="E157" s="24"/>
      <c r="F157" s="26"/>
      <c r="G157" s="27" t="str">
        <f aca="false">IF(C157="","",E157*F157)</f>
        <v/>
      </c>
      <c r="H157" s="55" t="n">
        <f aca="false">IFERROR(VLOOKUP(C157,المخزن!$B$2:$H$201,7,FALSE()),0)</f>
        <v>0</v>
      </c>
      <c r="I157" s="27" t="str">
        <f aca="false">IF(C157="","",E157*H157)</f>
        <v/>
      </c>
    </row>
    <row r="158" customFormat="false" ht="15" hidden="false" customHeight="true" outlineLevel="0" collapsed="false">
      <c r="A158" s="21" t="str">
        <f aca="false">IF(C158="","",ROW()-1)</f>
        <v/>
      </c>
      <c r="B158" s="53"/>
      <c r="C158" s="22"/>
      <c r="D158" s="54" t="str">
        <f aca="false">IFERROR(VLOOKUP(C158,المخزن!$B$2:$H$201,2,FALSE()),"")</f>
        <v/>
      </c>
      <c r="E158" s="24"/>
      <c r="F158" s="26"/>
      <c r="G158" s="27" t="str">
        <f aca="false">IF(C158="","",E158*F158)</f>
        <v/>
      </c>
      <c r="H158" s="55" t="n">
        <f aca="false">IFERROR(VLOOKUP(C158,المخزن!$B$2:$H$201,7,FALSE()),0)</f>
        <v>0</v>
      </c>
      <c r="I158" s="27" t="str">
        <f aca="false">IF(C158="","",E158*H158)</f>
        <v/>
      </c>
    </row>
    <row r="159" customFormat="false" ht="15" hidden="false" customHeight="true" outlineLevel="0" collapsed="false">
      <c r="A159" s="21" t="str">
        <f aca="false">IF(C159="","",ROW()-1)</f>
        <v/>
      </c>
      <c r="B159" s="53"/>
      <c r="C159" s="22"/>
      <c r="D159" s="54" t="str">
        <f aca="false">IFERROR(VLOOKUP(C159,المخزن!$B$2:$H$201,2,FALSE()),"")</f>
        <v/>
      </c>
      <c r="E159" s="24"/>
      <c r="F159" s="26"/>
      <c r="G159" s="27" t="str">
        <f aca="false">IF(C159="","",E159*F159)</f>
        <v/>
      </c>
      <c r="H159" s="55" t="n">
        <f aca="false">IFERROR(VLOOKUP(C159,المخزن!$B$2:$H$201,7,FALSE()),0)</f>
        <v>0</v>
      </c>
      <c r="I159" s="27" t="str">
        <f aca="false">IF(C159="","",E159*H159)</f>
        <v/>
      </c>
    </row>
    <row r="160" customFormat="false" ht="15" hidden="false" customHeight="true" outlineLevel="0" collapsed="false">
      <c r="A160" s="21" t="str">
        <f aca="false">IF(C160="","",ROW()-1)</f>
        <v/>
      </c>
      <c r="B160" s="53"/>
      <c r="C160" s="22"/>
      <c r="D160" s="54" t="str">
        <f aca="false">IFERROR(VLOOKUP(C160,المخزن!$B$2:$H$201,2,FALSE()),"")</f>
        <v/>
      </c>
      <c r="E160" s="24"/>
      <c r="F160" s="26"/>
      <c r="G160" s="27" t="str">
        <f aca="false">IF(C160="","",E160*F160)</f>
        <v/>
      </c>
      <c r="H160" s="55" t="n">
        <f aca="false">IFERROR(VLOOKUP(C160,المخزن!$B$2:$H$201,7,FALSE()),0)</f>
        <v>0</v>
      </c>
      <c r="I160" s="27" t="str">
        <f aca="false">IF(C160="","",E160*H160)</f>
        <v/>
      </c>
    </row>
    <row r="161" customFormat="false" ht="15" hidden="false" customHeight="true" outlineLevel="0" collapsed="false">
      <c r="A161" s="21" t="str">
        <f aca="false">IF(C161="","",ROW()-1)</f>
        <v/>
      </c>
      <c r="B161" s="53"/>
      <c r="C161" s="22"/>
      <c r="D161" s="54" t="str">
        <f aca="false">IFERROR(VLOOKUP(C161,المخزن!$B$2:$H$201,2,FALSE()),"")</f>
        <v/>
      </c>
      <c r="E161" s="24"/>
      <c r="F161" s="26"/>
      <c r="G161" s="27" t="str">
        <f aca="false">IF(C161="","",E161*F161)</f>
        <v/>
      </c>
      <c r="H161" s="55" t="n">
        <f aca="false">IFERROR(VLOOKUP(C161,المخزن!$B$2:$H$201,7,FALSE()),0)</f>
        <v>0</v>
      </c>
      <c r="I161" s="27" t="str">
        <f aca="false">IF(C161="","",E161*H161)</f>
        <v/>
      </c>
    </row>
    <row r="162" customFormat="false" ht="15" hidden="false" customHeight="true" outlineLevel="0" collapsed="false">
      <c r="A162" s="21" t="str">
        <f aca="false">IF(C162="","",ROW()-1)</f>
        <v/>
      </c>
      <c r="B162" s="53"/>
      <c r="C162" s="22"/>
      <c r="D162" s="54" t="str">
        <f aca="false">IFERROR(VLOOKUP(C162,المخزن!$B$2:$H$201,2,FALSE()),"")</f>
        <v/>
      </c>
      <c r="E162" s="24"/>
      <c r="F162" s="26"/>
      <c r="G162" s="27" t="str">
        <f aca="false">IF(C162="","",E162*F162)</f>
        <v/>
      </c>
      <c r="H162" s="55" t="n">
        <f aca="false">IFERROR(VLOOKUP(C162,المخزن!$B$2:$H$201,7,FALSE()),0)</f>
        <v>0</v>
      </c>
      <c r="I162" s="27" t="str">
        <f aca="false">IF(C162="","",E162*H162)</f>
        <v/>
      </c>
    </row>
    <row r="163" customFormat="false" ht="15" hidden="false" customHeight="true" outlineLevel="0" collapsed="false">
      <c r="A163" s="21" t="str">
        <f aca="false">IF(C163="","",ROW()-1)</f>
        <v/>
      </c>
      <c r="B163" s="53"/>
      <c r="C163" s="22"/>
      <c r="D163" s="54" t="str">
        <f aca="false">IFERROR(VLOOKUP(C163,المخزن!$B$2:$H$201,2,FALSE()),"")</f>
        <v/>
      </c>
      <c r="E163" s="24"/>
      <c r="F163" s="26"/>
      <c r="G163" s="27" t="str">
        <f aca="false">IF(C163="","",E163*F163)</f>
        <v/>
      </c>
      <c r="H163" s="55" t="n">
        <f aca="false">IFERROR(VLOOKUP(C163,المخزن!$B$2:$H$201,7,FALSE()),0)</f>
        <v>0</v>
      </c>
      <c r="I163" s="27" t="str">
        <f aca="false">IF(C163="","",E163*H163)</f>
        <v/>
      </c>
    </row>
    <row r="164" customFormat="false" ht="15" hidden="false" customHeight="true" outlineLevel="0" collapsed="false">
      <c r="A164" s="21" t="str">
        <f aca="false">IF(C164="","",ROW()-1)</f>
        <v/>
      </c>
      <c r="B164" s="53"/>
      <c r="C164" s="22"/>
      <c r="D164" s="54" t="str">
        <f aca="false">IFERROR(VLOOKUP(C164,المخزن!$B$2:$H$201,2,FALSE()),"")</f>
        <v/>
      </c>
      <c r="E164" s="24"/>
      <c r="F164" s="26"/>
      <c r="G164" s="27" t="str">
        <f aca="false">IF(C164="","",E164*F164)</f>
        <v/>
      </c>
      <c r="H164" s="55" t="n">
        <f aca="false">IFERROR(VLOOKUP(C164,المخزن!$B$2:$H$201,7,FALSE()),0)</f>
        <v>0</v>
      </c>
      <c r="I164" s="27" t="str">
        <f aca="false">IF(C164="","",E164*H164)</f>
        <v/>
      </c>
    </row>
    <row r="165" customFormat="false" ht="15" hidden="false" customHeight="true" outlineLevel="0" collapsed="false">
      <c r="A165" s="21" t="str">
        <f aca="false">IF(C165="","",ROW()-1)</f>
        <v/>
      </c>
      <c r="B165" s="53"/>
      <c r="C165" s="22"/>
      <c r="D165" s="54" t="str">
        <f aca="false">IFERROR(VLOOKUP(C165,المخزن!$B$2:$H$201,2,FALSE()),"")</f>
        <v/>
      </c>
      <c r="E165" s="24"/>
      <c r="F165" s="26"/>
      <c r="G165" s="27" t="str">
        <f aca="false">IF(C165="","",E165*F165)</f>
        <v/>
      </c>
      <c r="H165" s="55" t="n">
        <f aca="false">IFERROR(VLOOKUP(C165,المخزن!$B$2:$H$201,7,FALSE()),0)</f>
        <v>0</v>
      </c>
      <c r="I165" s="27" t="str">
        <f aca="false">IF(C165="","",E165*H165)</f>
        <v/>
      </c>
    </row>
    <row r="166" customFormat="false" ht="15" hidden="false" customHeight="true" outlineLevel="0" collapsed="false">
      <c r="A166" s="21" t="str">
        <f aca="false">IF(C166="","",ROW()-1)</f>
        <v/>
      </c>
      <c r="B166" s="53"/>
      <c r="C166" s="22"/>
      <c r="D166" s="54" t="str">
        <f aca="false">IFERROR(VLOOKUP(C166,المخزن!$B$2:$H$201,2,FALSE()),"")</f>
        <v/>
      </c>
      <c r="E166" s="24"/>
      <c r="F166" s="26"/>
      <c r="G166" s="27" t="str">
        <f aca="false">IF(C166="","",E166*F166)</f>
        <v/>
      </c>
      <c r="H166" s="55" t="n">
        <f aca="false">IFERROR(VLOOKUP(C166,المخزن!$B$2:$H$201,7,FALSE()),0)</f>
        <v>0</v>
      </c>
      <c r="I166" s="27" t="str">
        <f aca="false">IF(C166="","",E166*H166)</f>
        <v/>
      </c>
    </row>
    <row r="167" customFormat="false" ht="15" hidden="false" customHeight="true" outlineLevel="0" collapsed="false">
      <c r="A167" s="21" t="str">
        <f aca="false">IF(C167="","",ROW()-1)</f>
        <v/>
      </c>
      <c r="B167" s="53"/>
      <c r="C167" s="22"/>
      <c r="D167" s="54" t="str">
        <f aca="false">IFERROR(VLOOKUP(C167,المخزن!$B$2:$H$201,2,FALSE()),"")</f>
        <v/>
      </c>
      <c r="E167" s="24"/>
      <c r="F167" s="26"/>
      <c r="G167" s="27" t="str">
        <f aca="false">IF(C167="","",E167*F167)</f>
        <v/>
      </c>
      <c r="H167" s="55" t="n">
        <f aca="false">IFERROR(VLOOKUP(C167,المخزن!$B$2:$H$201,7,FALSE()),0)</f>
        <v>0</v>
      </c>
      <c r="I167" s="27" t="str">
        <f aca="false">IF(C167="","",E167*H167)</f>
        <v/>
      </c>
    </row>
    <row r="168" customFormat="false" ht="15" hidden="false" customHeight="true" outlineLevel="0" collapsed="false">
      <c r="A168" s="21" t="str">
        <f aca="false">IF(C168="","",ROW()-1)</f>
        <v/>
      </c>
      <c r="B168" s="53"/>
      <c r="C168" s="22"/>
      <c r="D168" s="54" t="str">
        <f aca="false">IFERROR(VLOOKUP(C168,المخزن!$B$2:$H$201,2,FALSE()),"")</f>
        <v/>
      </c>
      <c r="E168" s="24"/>
      <c r="F168" s="26"/>
      <c r="G168" s="27" t="str">
        <f aca="false">IF(C168="","",E168*F168)</f>
        <v/>
      </c>
      <c r="H168" s="55" t="n">
        <f aca="false">IFERROR(VLOOKUP(C168,المخزن!$B$2:$H$201,7,FALSE()),0)</f>
        <v>0</v>
      </c>
      <c r="I168" s="27" t="str">
        <f aca="false">IF(C168="","",E168*H168)</f>
        <v/>
      </c>
    </row>
    <row r="169" customFormat="false" ht="15" hidden="false" customHeight="true" outlineLevel="0" collapsed="false">
      <c r="A169" s="21" t="str">
        <f aca="false">IF(C169="","",ROW()-1)</f>
        <v/>
      </c>
      <c r="B169" s="53"/>
      <c r="C169" s="22"/>
      <c r="D169" s="54" t="str">
        <f aca="false">IFERROR(VLOOKUP(C169,المخزن!$B$2:$H$201,2,FALSE()),"")</f>
        <v/>
      </c>
      <c r="E169" s="24"/>
      <c r="F169" s="26"/>
      <c r="G169" s="27" t="str">
        <f aca="false">IF(C169="","",E169*F169)</f>
        <v/>
      </c>
      <c r="H169" s="55" t="n">
        <f aca="false">IFERROR(VLOOKUP(C169,المخزن!$B$2:$H$201,7,FALSE()),0)</f>
        <v>0</v>
      </c>
      <c r="I169" s="27" t="str">
        <f aca="false">IF(C169="","",E169*H169)</f>
        <v/>
      </c>
    </row>
    <row r="170" customFormat="false" ht="15" hidden="false" customHeight="true" outlineLevel="0" collapsed="false">
      <c r="A170" s="21" t="str">
        <f aca="false">IF(C170="","",ROW()-1)</f>
        <v/>
      </c>
      <c r="B170" s="53"/>
      <c r="C170" s="22"/>
      <c r="D170" s="54" t="str">
        <f aca="false">IFERROR(VLOOKUP(C170,المخزن!$B$2:$H$201,2,FALSE()),"")</f>
        <v/>
      </c>
      <c r="E170" s="24"/>
      <c r="F170" s="26"/>
      <c r="G170" s="27" t="str">
        <f aca="false">IF(C170="","",E170*F170)</f>
        <v/>
      </c>
      <c r="H170" s="55" t="n">
        <f aca="false">IFERROR(VLOOKUP(C170,المخزن!$B$2:$H$201,7,FALSE()),0)</f>
        <v>0</v>
      </c>
      <c r="I170" s="27" t="str">
        <f aca="false">IF(C170="","",E170*H170)</f>
        <v/>
      </c>
    </row>
    <row r="171" customFormat="false" ht="15" hidden="false" customHeight="true" outlineLevel="0" collapsed="false">
      <c r="A171" s="21" t="str">
        <f aca="false">IF(C171="","",ROW()-1)</f>
        <v/>
      </c>
      <c r="B171" s="53"/>
      <c r="C171" s="22"/>
      <c r="D171" s="54" t="str">
        <f aca="false">IFERROR(VLOOKUP(C171,المخزن!$B$2:$H$201,2,FALSE()),"")</f>
        <v/>
      </c>
      <c r="E171" s="24"/>
      <c r="F171" s="26"/>
      <c r="G171" s="27" t="str">
        <f aca="false">IF(C171="","",E171*F171)</f>
        <v/>
      </c>
      <c r="H171" s="55" t="n">
        <f aca="false">IFERROR(VLOOKUP(C171,المخزن!$B$2:$H$201,7,FALSE()),0)</f>
        <v>0</v>
      </c>
      <c r="I171" s="27" t="str">
        <f aca="false">IF(C171="","",E171*H171)</f>
        <v/>
      </c>
    </row>
    <row r="172" customFormat="false" ht="15" hidden="false" customHeight="true" outlineLevel="0" collapsed="false">
      <c r="A172" s="21" t="str">
        <f aca="false">IF(C172="","",ROW()-1)</f>
        <v/>
      </c>
      <c r="B172" s="53"/>
      <c r="C172" s="22"/>
      <c r="D172" s="54" t="str">
        <f aca="false">IFERROR(VLOOKUP(C172,المخزن!$B$2:$H$201,2,FALSE()),"")</f>
        <v/>
      </c>
      <c r="E172" s="24"/>
      <c r="F172" s="26"/>
      <c r="G172" s="27" t="str">
        <f aca="false">IF(C172="","",E172*F172)</f>
        <v/>
      </c>
      <c r="H172" s="55" t="n">
        <f aca="false">IFERROR(VLOOKUP(C172,المخزن!$B$2:$H$201,7,FALSE()),0)</f>
        <v>0</v>
      </c>
      <c r="I172" s="27" t="str">
        <f aca="false">IF(C172="","",E172*H172)</f>
        <v/>
      </c>
    </row>
    <row r="173" customFormat="false" ht="15" hidden="false" customHeight="true" outlineLevel="0" collapsed="false">
      <c r="A173" s="21" t="str">
        <f aca="false">IF(C173="","",ROW()-1)</f>
        <v/>
      </c>
      <c r="B173" s="53"/>
      <c r="C173" s="22"/>
      <c r="D173" s="54" t="str">
        <f aca="false">IFERROR(VLOOKUP(C173,المخزن!$B$2:$H$201,2,FALSE()),"")</f>
        <v/>
      </c>
      <c r="E173" s="24"/>
      <c r="F173" s="26"/>
      <c r="G173" s="27" t="str">
        <f aca="false">IF(C173="","",E173*F173)</f>
        <v/>
      </c>
      <c r="H173" s="55" t="n">
        <f aca="false">IFERROR(VLOOKUP(C173,المخزن!$B$2:$H$201,7,FALSE()),0)</f>
        <v>0</v>
      </c>
      <c r="I173" s="27" t="str">
        <f aca="false">IF(C173="","",E173*H173)</f>
        <v/>
      </c>
    </row>
    <row r="174" customFormat="false" ht="15" hidden="false" customHeight="true" outlineLevel="0" collapsed="false">
      <c r="A174" s="21" t="str">
        <f aca="false">IF(C174="","",ROW()-1)</f>
        <v/>
      </c>
      <c r="B174" s="53"/>
      <c r="C174" s="22"/>
      <c r="D174" s="54" t="str">
        <f aca="false">IFERROR(VLOOKUP(C174,المخزن!$B$2:$H$201,2,FALSE()),"")</f>
        <v/>
      </c>
      <c r="E174" s="24"/>
      <c r="F174" s="26"/>
      <c r="G174" s="27" t="str">
        <f aca="false">IF(C174="","",E174*F174)</f>
        <v/>
      </c>
      <c r="H174" s="55" t="n">
        <f aca="false">IFERROR(VLOOKUP(C174,المخزن!$B$2:$H$201,7,FALSE()),0)</f>
        <v>0</v>
      </c>
      <c r="I174" s="27" t="str">
        <f aca="false">IF(C174="","",E174*H174)</f>
        <v/>
      </c>
    </row>
    <row r="175" customFormat="false" ht="15" hidden="false" customHeight="true" outlineLevel="0" collapsed="false">
      <c r="A175" s="21" t="str">
        <f aca="false">IF(C175="","",ROW()-1)</f>
        <v/>
      </c>
      <c r="B175" s="53"/>
      <c r="C175" s="22"/>
      <c r="D175" s="54" t="str">
        <f aca="false">IFERROR(VLOOKUP(C175,المخزن!$B$2:$H$201,2,FALSE()),"")</f>
        <v/>
      </c>
      <c r="E175" s="24"/>
      <c r="F175" s="26"/>
      <c r="G175" s="27" t="str">
        <f aca="false">IF(C175="","",E175*F175)</f>
        <v/>
      </c>
      <c r="H175" s="55" t="n">
        <f aca="false">IFERROR(VLOOKUP(C175,المخزن!$B$2:$H$201,7,FALSE()),0)</f>
        <v>0</v>
      </c>
      <c r="I175" s="27" t="str">
        <f aca="false">IF(C175="","",E175*H175)</f>
        <v/>
      </c>
    </row>
    <row r="176" customFormat="false" ht="15" hidden="false" customHeight="true" outlineLevel="0" collapsed="false">
      <c r="A176" s="21" t="str">
        <f aca="false">IF(C176="","",ROW()-1)</f>
        <v/>
      </c>
      <c r="B176" s="53"/>
      <c r="C176" s="22"/>
      <c r="D176" s="54" t="str">
        <f aca="false">IFERROR(VLOOKUP(C176,المخزن!$B$2:$H$201,2,FALSE()),"")</f>
        <v/>
      </c>
      <c r="E176" s="24"/>
      <c r="F176" s="26"/>
      <c r="G176" s="27" t="str">
        <f aca="false">IF(C176="","",E176*F176)</f>
        <v/>
      </c>
      <c r="H176" s="55" t="n">
        <f aca="false">IFERROR(VLOOKUP(C176,المخزن!$B$2:$H$201,7,FALSE()),0)</f>
        <v>0</v>
      </c>
      <c r="I176" s="27" t="str">
        <f aca="false">IF(C176="","",E176*H176)</f>
        <v/>
      </c>
    </row>
    <row r="177" customFormat="false" ht="15" hidden="false" customHeight="true" outlineLevel="0" collapsed="false">
      <c r="A177" s="21" t="str">
        <f aca="false">IF(C177="","",ROW()-1)</f>
        <v/>
      </c>
      <c r="B177" s="53"/>
      <c r="C177" s="22"/>
      <c r="D177" s="54" t="str">
        <f aca="false">IFERROR(VLOOKUP(C177,المخزن!$B$2:$H$201,2,FALSE()),"")</f>
        <v/>
      </c>
      <c r="E177" s="24"/>
      <c r="F177" s="26"/>
      <c r="G177" s="27" t="str">
        <f aca="false">IF(C177="","",E177*F177)</f>
        <v/>
      </c>
      <c r="H177" s="55" t="n">
        <f aca="false">IFERROR(VLOOKUP(C177,المخزن!$B$2:$H$201,7,FALSE()),0)</f>
        <v>0</v>
      </c>
      <c r="I177" s="27" t="str">
        <f aca="false">IF(C177="","",E177*H177)</f>
        <v/>
      </c>
    </row>
    <row r="178" customFormat="false" ht="15" hidden="false" customHeight="true" outlineLevel="0" collapsed="false">
      <c r="A178" s="21" t="str">
        <f aca="false">IF(C178="","",ROW()-1)</f>
        <v/>
      </c>
      <c r="B178" s="53"/>
      <c r="C178" s="22"/>
      <c r="D178" s="54" t="str">
        <f aca="false">IFERROR(VLOOKUP(C178,المخزن!$B$2:$H$201,2,FALSE()),"")</f>
        <v/>
      </c>
      <c r="E178" s="24"/>
      <c r="F178" s="26"/>
      <c r="G178" s="27" t="str">
        <f aca="false">IF(C178="","",E178*F178)</f>
        <v/>
      </c>
      <c r="H178" s="55" t="n">
        <f aca="false">IFERROR(VLOOKUP(C178,المخزن!$B$2:$H$201,7,FALSE()),0)</f>
        <v>0</v>
      </c>
      <c r="I178" s="27" t="str">
        <f aca="false">IF(C178="","",E178*H178)</f>
        <v/>
      </c>
    </row>
    <row r="179" customFormat="false" ht="15" hidden="false" customHeight="true" outlineLevel="0" collapsed="false">
      <c r="A179" s="21" t="str">
        <f aca="false">IF(C179="","",ROW()-1)</f>
        <v/>
      </c>
      <c r="B179" s="53"/>
      <c r="C179" s="22"/>
      <c r="D179" s="54" t="str">
        <f aca="false">IFERROR(VLOOKUP(C179,المخزن!$B$2:$H$201,2,FALSE()),"")</f>
        <v/>
      </c>
      <c r="E179" s="24"/>
      <c r="F179" s="26"/>
      <c r="G179" s="27" t="str">
        <f aca="false">IF(C179="","",E179*F179)</f>
        <v/>
      </c>
      <c r="H179" s="55" t="n">
        <f aca="false">IFERROR(VLOOKUP(C179,المخزن!$B$2:$H$201,7,FALSE()),0)</f>
        <v>0</v>
      </c>
      <c r="I179" s="27" t="str">
        <f aca="false">IF(C179="","",E179*H179)</f>
        <v/>
      </c>
    </row>
    <row r="180" customFormat="false" ht="15" hidden="false" customHeight="true" outlineLevel="0" collapsed="false">
      <c r="A180" s="21" t="str">
        <f aca="false">IF(C180="","",ROW()-1)</f>
        <v/>
      </c>
      <c r="B180" s="53"/>
      <c r="C180" s="22"/>
      <c r="D180" s="54" t="str">
        <f aca="false">IFERROR(VLOOKUP(C180,المخزن!$B$2:$H$201,2,FALSE()),"")</f>
        <v/>
      </c>
      <c r="E180" s="24"/>
      <c r="F180" s="26"/>
      <c r="G180" s="27" t="str">
        <f aca="false">IF(C180="","",E180*F180)</f>
        <v/>
      </c>
      <c r="H180" s="55" t="n">
        <f aca="false">IFERROR(VLOOKUP(C180,المخزن!$B$2:$H$201,7,FALSE()),0)</f>
        <v>0</v>
      </c>
      <c r="I180" s="27" t="str">
        <f aca="false">IF(C180="","",E180*H180)</f>
        <v/>
      </c>
    </row>
    <row r="181" customFormat="false" ht="15" hidden="false" customHeight="true" outlineLevel="0" collapsed="false">
      <c r="A181" s="21" t="str">
        <f aca="false">IF(C181="","",ROW()-1)</f>
        <v/>
      </c>
      <c r="B181" s="53"/>
      <c r="C181" s="22"/>
      <c r="D181" s="54" t="str">
        <f aca="false">IFERROR(VLOOKUP(C181,المخزن!$B$2:$H$201,2,FALSE()),"")</f>
        <v/>
      </c>
      <c r="E181" s="24"/>
      <c r="F181" s="26"/>
      <c r="G181" s="27" t="str">
        <f aca="false">IF(C181="","",E181*F181)</f>
        <v/>
      </c>
      <c r="H181" s="55" t="n">
        <f aca="false">IFERROR(VLOOKUP(C181,المخزن!$B$2:$H$201,7,FALSE()),0)</f>
        <v>0</v>
      </c>
      <c r="I181" s="27" t="str">
        <f aca="false">IF(C181="","",E181*H181)</f>
        <v/>
      </c>
    </row>
    <row r="182" customFormat="false" ht="15" hidden="false" customHeight="true" outlineLevel="0" collapsed="false">
      <c r="A182" s="21" t="str">
        <f aca="false">IF(C182="","",ROW()-1)</f>
        <v/>
      </c>
      <c r="B182" s="53"/>
      <c r="C182" s="22"/>
      <c r="D182" s="54" t="str">
        <f aca="false">IFERROR(VLOOKUP(C182,المخزن!$B$2:$H$201,2,FALSE()),"")</f>
        <v/>
      </c>
      <c r="E182" s="24"/>
      <c r="F182" s="26"/>
      <c r="G182" s="27" t="str">
        <f aca="false">IF(C182="","",E182*F182)</f>
        <v/>
      </c>
      <c r="H182" s="55" t="n">
        <f aca="false">IFERROR(VLOOKUP(C182,المخزن!$B$2:$H$201,7,FALSE()),0)</f>
        <v>0</v>
      </c>
      <c r="I182" s="27" t="str">
        <f aca="false">IF(C182="","",E182*H182)</f>
        <v/>
      </c>
    </row>
    <row r="183" customFormat="false" ht="15" hidden="false" customHeight="true" outlineLevel="0" collapsed="false">
      <c r="A183" s="21" t="str">
        <f aca="false">IF(C183="","",ROW()-1)</f>
        <v/>
      </c>
      <c r="B183" s="53"/>
      <c r="C183" s="22"/>
      <c r="D183" s="54" t="str">
        <f aca="false">IFERROR(VLOOKUP(C183,المخزن!$B$2:$H$201,2,FALSE()),"")</f>
        <v/>
      </c>
      <c r="E183" s="24"/>
      <c r="F183" s="26"/>
      <c r="G183" s="27" t="str">
        <f aca="false">IF(C183="","",E183*F183)</f>
        <v/>
      </c>
      <c r="H183" s="55" t="n">
        <f aca="false">IFERROR(VLOOKUP(C183,المخزن!$B$2:$H$201,7,FALSE()),0)</f>
        <v>0</v>
      </c>
      <c r="I183" s="27" t="str">
        <f aca="false">IF(C183="","",E183*H183)</f>
        <v/>
      </c>
    </row>
    <row r="184" customFormat="false" ht="15" hidden="false" customHeight="true" outlineLevel="0" collapsed="false">
      <c r="A184" s="21" t="str">
        <f aca="false">IF(C184="","",ROW()-1)</f>
        <v/>
      </c>
      <c r="B184" s="53"/>
      <c r="C184" s="22"/>
      <c r="D184" s="54" t="str">
        <f aca="false">IFERROR(VLOOKUP(C184,المخزن!$B$2:$H$201,2,FALSE()),"")</f>
        <v/>
      </c>
      <c r="E184" s="24"/>
      <c r="F184" s="26"/>
      <c r="G184" s="27" t="str">
        <f aca="false">IF(C184="","",E184*F184)</f>
        <v/>
      </c>
      <c r="H184" s="55" t="n">
        <f aca="false">IFERROR(VLOOKUP(C184,المخزن!$B$2:$H$201,7,FALSE()),0)</f>
        <v>0</v>
      </c>
      <c r="I184" s="27" t="str">
        <f aca="false">IF(C184="","",E184*H184)</f>
        <v/>
      </c>
    </row>
    <row r="185" customFormat="false" ht="15" hidden="false" customHeight="true" outlineLevel="0" collapsed="false">
      <c r="A185" s="21" t="str">
        <f aca="false">IF(C185="","",ROW()-1)</f>
        <v/>
      </c>
      <c r="B185" s="53"/>
      <c r="C185" s="22"/>
      <c r="D185" s="54" t="str">
        <f aca="false">IFERROR(VLOOKUP(C185,المخزن!$B$2:$H$201,2,FALSE()),"")</f>
        <v/>
      </c>
      <c r="E185" s="24"/>
      <c r="F185" s="26"/>
      <c r="G185" s="27" t="str">
        <f aca="false">IF(C185="","",E185*F185)</f>
        <v/>
      </c>
      <c r="H185" s="55" t="n">
        <f aca="false">IFERROR(VLOOKUP(C185,المخزن!$B$2:$H$201,7,FALSE()),0)</f>
        <v>0</v>
      </c>
      <c r="I185" s="27" t="str">
        <f aca="false">IF(C185="","",E185*H185)</f>
        <v/>
      </c>
    </row>
    <row r="186" customFormat="false" ht="15" hidden="false" customHeight="true" outlineLevel="0" collapsed="false">
      <c r="A186" s="21" t="str">
        <f aca="false">IF(C186="","",ROW()-1)</f>
        <v/>
      </c>
      <c r="B186" s="53"/>
      <c r="C186" s="22"/>
      <c r="D186" s="54" t="str">
        <f aca="false">IFERROR(VLOOKUP(C186,المخزن!$B$2:$H$201,2,FALSE()),"")</f>
        <v/>
      </c>
      <c r="E186" s="24"/>
      <c r="F186" s="26"/>
      <c r="G186" s="27" t="str">
        <f aca="false">IF(C186="","",E186*F186)</f>
        <v/>
      </c>
      <c r="H186" s="55" t="n">
        <f aca="false">IFERROR(VLOOKUP(C186,المخزن!$B$2:$H$201,7,FALSE()),0)</f>
        <v>0</v>
      </c>
      <c r="I186" s="27" t="str">
        <f aca="false">IF(C186="","",E186*H186)</f>
        <v/>
      </c>
    </row>
    <row r="187" customFormat="false" ht="15" hidden="false" customHeight="true" outlineLevel="0" collapsed="false">
      <c r="A187" s="21" t="str">
        <f aca="false">IF(C187="","",ROW()-1)</f>
        <v/>
      </c>
      <c r="B187" s="53"/>
      <c r="C187" s="22"/>
      <c r="D187" s="54" t="str">
        <f aca="false">IFERROR(VLOOKUP(C187,المخزن!$B$2:$H$201,2,FALSE()),"")</f>
        <v/>
      </c>
      <c r="E187" s="24"/>
      <c r="F187" s="26"/>
      <c r="G187" s="27" t="str">
        <f aca="false">IF(C187="","",E187*F187)</f>
        <v/>
      </c>
      <c r="H187" s="55" t="n">
        <f aca="false">IFERROR(VLOOKUP(C187,المخزن!$B$2:$H$201,7,FALSE()),0)</f>
        <v>0</v>
      </c>
      <c r="I187" s="27" t="str">
        <f aca="false">IF(C187="","",E187*H187)</f>
        <v/>
      </c>
    </row>
    <row r="188" customFormat="false" ht="15" hidden="false" customHeight="true" outlineLevel="0" collapsed="false">
      <c r="A188" s="21" t="str">
        <f aca="false">IF(C188="","",ROW()-1)</f>
        <v/>
      </c>
      <c r="B188" s="53"/>
      <c r="C188" s="22"/>
      <c r="D188" s="54" t="str">
        <f aca="false">IFERROR(VLOOKUP(C188,المخزن!$B$2:$H$201,2,FALSE()),"")</f>
        <v/>
      </c>
      <c r="E188" s="24"/>
      <c r="F188" s="26"/>
      <c r="G188" s="27" t="str">
        <f aca="false">IF(C188="","",E188*F188)</f>
        <v/>
      </c>
      <c r="H188" s="55" t="n">
        <f aca="false">IFERROR(VLOOKUP(C188,المخزن!$B$2:$H$201,7,FALSE()),0)</f>
        <v>0</v>
      </c>
      <c r="I188" s="27" t="str">
        <f aca="false">IF(C188="","",E188*H188)</f>
        <v/>
      </c>
    </row>
    <row r="189" customFormat="false" ht="15" hidden="false" customHeight="true" outlineLevel="0" collapsed="false">
      <c r="A189" s="21" t="str">
        <f aca="false">IF(C189="","",ROW()-1)</f>
        <v/>
      </c>
      <c r="B189" s="53"/>
      <c r="C189" s="22"/>
      <c r="D189" s="54" t="str">
        <f aca="false">IFERROR(VLOOKUP(C189,المخزن!$B$2:$H$201,2,FALSE()),"")</f>
        <v/>
      </c>
      <c r="E189" s="24"/>
      <c r="F189" s="26"/>
      <c r="G189" s="27" t="str">
        <f aca="false">IF(C189="","",E189*F189)</f>
        <v/>
      </c>
      <c r="H189" s="55" t="n">
        <f aca="false">IFERROR(VLOOKUP(C189,المخزن!$B$2:$H$201,7,FALSE()),0)</f>
        <v>0</v>
      </c>
      <c r="I189" s="27" t="str">
        <f aca="false">IF(C189="","",E189*H189)</f>
        <v/>
      </c>
    </row>
    <row r="190" customFormat="false" ht="15" hidden="false" customHeight="true" outlineLevel="0" collapsed="false">
      <c r="A190" s="21" t="str">
        <f aca="false">IF(C190="","",ROW()-1)</f>
        <v/>
      </c>
      <c r="B190" s="53"/>
      <c r="C190" s="22"/>
      <c r="D190" s="54" t="str">
        <f aca="false">IFERROR(VLOOKUP(C190,المخزن!$B$2:$H$201,2,FALSE()),"")</f>
        <v/>
      </c>
      <c r="E190" s="24"/>
      <c r="F190" s="26"/>
      <c r="G190" s="27" t="str">
        <f aca="false">IF(C190="","",E190*F190)</f>
        <v/>
      </c>
      <c r="H190" s="55" t="n">
        <f aca="false">IFERROR(VLOOKUP(C190,المخزن!$B$2:$H$201,7,FALSE()),0)</f>
        <v>0</v>
      </c>
      <c r="I190" s="27" t="str">
        <f aca="false">IF(C190="","",E190*H190)</f>
        <v/>
      </c>
    </row>
    <row r="191" customFormat="false" ht="15" hidden="false" customHeight="true" outlineLevel="0" collapsed="false">
      <c r="A191" s="21" t="str">
        <f aca="false">IF(C191="","",ROW()-1)</f>
        <v/>
      </c>
      <c r="B191" s="53"/>
      <c r="C191" s="22"/>
      <c r="D191" s="54" t="str">
        <f aca="false">IFERROR(VLOOKUP(C191,المخزن!$B$2:$H$201,2,FALSE()),"")</f>
        <v/>
      </c>
      <c r="E191" s="24"/>
      <c r="F191" s="26"/>
      <c r="G191" s="27" t="str">
        <f aca="false">IF(C191="","",E191*F191)</f>
        <v/>
      </c>
      <c r="H191" s="55" t="n">
        <f aca="false">IFERROR(VLOOKUP(C191,المخزن!$B$2:$H$201,7,FALSE()),0)</f>
        <v>0</v>
      </c>
      <c r="I191" s="27" t="str">
        <f aca="false">IF(C191="","",E191*H191)</f>
        <v/>
      </c>
    </row>
    <row r="192" customFormat="false" ht="15" hidden="false" customHeight="true" outlineLevel="0" collapsed="false">
      <c r="A192" s="21" t="str">
        <f aca="false">IF(C192="","",ROW()-1)</f>
        <v/>
      </c>
      <c r="B192" s="53"/>
      <c r="C192" s="22"/>
      <c r="D192" s="54" t="str">
        <f aca="false">IFERROR(VLOOKUP(C192,المخزن!$B$2:$H$201,2,FALSE()),"")</f>
        <v/>
      </c>
      <c r="E192" s="24"/>
      <c r="F192" s="26"/>
      <c r="G192" s="27" t="str">
        <f aca="false">IF(C192="","",E192*F192)</f>
        <v/>
      </c>
      <c r="H192" s="55" t="n">
        <f aca="false">IFERROR(VLOOKUP(C192,المخزن!$B$2:$H$201,7,FALSE()),0)</f>
        <v>0</v>
      </c>
      <c r="I192" s="27" t="str">
        <f aca="false">IF(C192="","",E192*H192)</f>
        <v/>
      </c>
    </row>
    <row r="193" customFormat="false" ht="15" hidden="false" customHeight="true" outlineLevel="0" collapsed="false">
      <c r="A193" s="21" t="str">
        <f aca="false">IF(C193="","",ROW()-1)</f>
        <v/>
      </c>
      <c r="B193" s="53"/>
      <c r="C193" s="22"/>
      <c r="D193" s="54" t="str">
        <f aca="false">IFERROR(VLOOKUP(C193,المخزن!$B$2:$H$201,2,FALSE()),"")</f>
        <v/>
      </c>
      <c r="E193" s="24"/>
      <c r="F193" s="26"/>
      <c r="G193" s="27" t="str">
        <f aca="false">IF(C193="","",E193*F193)</f>
        <v/>
      </c>
      <c r="H193" s="55" t="n">
        <f aca="false">IFERROR(VLOOKUP(C193,المخزن!$B$2:$H$201,7,FALSE()),0)</f>
        <v>0</v>
      </c>
      <c r="I193" s="27" t="str">
        <f aca="false">IF(C193="","",E193*H193)</f>
        <v/>
      </c>
    </row>
    <row r="194" customFormat="false" ht="15" hidden="false" customHeight="true" outlineLevel="0" collapsed="false">
      <c r="A194" s="21" t="str">
        <f aca="false">IF(C194="","",ROW()-1)</f>
        <v/>
      </c>
      <c r="B194" s="53"/>
      <c r="C194" s="22"/>
      <c r="D194" s="54" t="str">
        <f aca="false">IFERROR(VLOOKUP(C194,المخزن!$B$2:$H$201,2,FALSE()),"")</f>
        <v/>
      </c>
      <c r="E194" s="24"/>
      <c r="F194" s="26"/>
      <c r="G194" s="27" t="str">
        <f aca="false">IF(C194="","",E194*F194)</f>
        <v/>
      </c>
      <c r="H194" s="55" t="n">
        <f aca="false">IFERROR(VLOOKUP(C194,المخزن!$B$2:$H$201,7,FALSE()),0)</f>
        <v>0</v>
      </c>
      <c r="I194" s="27" t="str">
        <f aca="false">IF(C194="","",E194*H194)</f>
        <v/>
      </c>
    </row>
    <row r="195" customFormat="false" ht="15" hidden="false" customHeight="true" outlineLevel="0" collapsed="false">
      <c r="A195" s="21" t="str">
        <f aca="false">IF(C195="","",ROW()-1)</f>
        <v/>
      </c>
      <c r="B195" s="53"/>
      <c r="C195" s="22"/>
      <c r="D195" s="54" t="str">
        <f aca="false">IFERROR(VLOOKUP(C195,المخزن!$B$2:$H$201,2,FALSE()),"")</f>
        <v/>
      </c>
      <c r="E195" s="24"/>
      <c r="F195" s="26"/>
      <c r="G195" s="27" t="str">
        <f aca="false">IF(C195="","",E195*F195)</f>
        <v/>
      </c>
      <c r="H195" s="55" t="n">
        <f aca="false">IFERROR(VLOOKUP(C195,المخزن!$B$2:$H$201,7,FALSE()),0)</f>
        <v>0</v>
      </c>
      <c r="I195" s="27" t="str">
        <f aca="false">IF(C195="","",E195*H195)</f>
        <v/>
      </c>
    </row>
    <row r="196" customFormat="false" ht="15" hidden="false" customHeight="true" outlineLevel="0" collapsed="false">
      <c r="A196" s="21" t="str">
        <f aca="false">IF(C196="","",ROW()-1)</f>
        <v/>
      </c>
      <c r="B196" s="53"/>
      <c r="C196" s="22"/>
      <c r="D196" s="54" t="str">
        <f aca="false">IFERROR(VLOOKUP(C196,المخزن!$B$2:$H$201,2,FALSE()),"")</f>
        <v/>
      </c>
      <c r="E196" s="24"/>
      <c r="F196" s="26"/>
      <c r="G196" s="27" t="str">
        <f aca="false">IF(C196="","",E196*F196)</f>
        <v/>
      </c>
      <c r="H196" s="55" t="n">
        <f aca="false">IFERROR(VLOOKUP(C196,المخزن!$B$2:$H$201,7,FALSE()),0)</f>
        <v>0</v>
      </c>
      <c r="I196" s="27" t="str">
        <f aca="false">IF(C196="","",E196*H196)</f>
        <v/>
      </c>
    </row>
    <row r="197" customFormat="false" ht="15" hidden="false" customHeight="true" outlineLevel="0" collapsed="false">
      <c r="A197" s="21" t="str">
        <f aca="false">IF(C197="","",ROW()-1)</f>
        <v/>
      </c>
      <c r="B197" s="53"/>
      <c r="C197" s="22"/>
      <c r="D197" s="54" t="str">
        <f aca="false">IFERROR(VLOOKUP(C197,المخزن!$B$2:$H$201,2,FALSE()),"")</f>
        <v/>
      </c>
      <c r="E197" s="24"/>
      <c r="F197" s="26"/>
      <c r="G197" s="27" t="str">
        <f aca="false">IF(C197="","",E197*F197)</f>
        <v/>
      </c>
      <c r="H197" s="55" t="n">
        <f aca="false">IFERROR(VLOOKUP(C197,المخزن!$B$2:$H$201,7,FALSE()),0)</f>
        <v>0</v>
      </c>
      <c r="I197" s="27" t="str">
        <f aca="false">IF(C197="","",E197*H197)</f>
        <v/>
      </c>
    </row>
    <row r="198" customFormat="false" ht="15" hidden="false" customHeight="true" outlineLevel="0" collapsed="false">
      <c r="A198" s="21" t="str">
        <f aca="false">IF(C198="","",ROW()-1)</f>
        <v/>
      </c>
      <c r="B198" s="53"/>
      <c r="C198" s="22"/>
      <c r="D198" s="54" t="str">
        <f aca="false">IFERROR(VLOOKUP(C198,المخزن!$B$2:$H$201,2,FALSE()),"")</f>
        <v/>
      </c>
      <c r="E198" s="24"/>
      <c r="F198" s="26"/>
      <c r="G198" s="27" t="str">
        <f aca="false">IF(C198="","",E198*F198)</f>
        <v/>
      </c>
      <c r="H198" s="55" t="n">
        <f aca="false">IFERROR(VLOOKUP(C198,المخزن!$B$2:$H$201,7,FALSE()),0)</f>
        <v>0</v>
      </c>
      <c r="I198" s="27" t="str">
        <f aca="false">IF(C198="","",E198*H198)</f>
        <v/>
      </c>
    </row>
    <row r="199" customFormat="false" ht="15" hidden="false" customHeight="true" outlineLevel="0" collapsed="false">
      <c r="A199" s="21" t="str">
        <f aca="false">IF(C199="","",ROW()-1)</f>
        <v/>
      </c>
      <c r="B199" s="53"/>
      <c r="C199" s="22"/>
      <c r="D199" s="54" t="str">
        <f aca="false">IFERROR(VLOOKUP(C199,المخزن!$B$2:$H$201,2,FALSE()),"")</f>
        <v/>
      </c>
      <c r="E199" s="24"/>
      <c r="F199" s="26"/>
      <c r="G199" s="27" t="str">
        <f aca="false">IF(C199="","",E199*F199)</f>
        <v/>
      </c>
      <c r="H199" s="55" t="n">
        <f aca="false">IFERROR(VLOOKUP(C199,المخزن!$B$2:$H$201,7,FALSE()),0)</f>
        <v>0</v>
      </c>
      <c r="I199" s="27" t="str">
        <f aca="false">IF(C199="","",E199*H199)</f>
        <v/>
      </c>
    </row>
    <row r="200" customFormat="false" ht="15" hidden="false" customHeight="true" outlineLevel="0" collapsed="false">
      <c r="A200" s="21" t="str">
        <f aca="false">IF(C200="","",ROW()-1)</f>
        <v/>
      </c>
      <c r="B200" s="53"/>
      <c r="C200" s="22"/>
      <c r="D200" s="54" t="str">
        <f aca="false">IFERROR(VLOOKUP(C200,المخزن!$B$2:$H$201,2,FALSE()),"")</f>
        <v/>
      </c>
      <c r="E200" s="24"/>
      <c r="F200" s="26"/>
      <c r="G200" s="27" t="str">
        <f aca="false">IF(C200="","",E200*F200)</f>
        <v/>
      </c>
      <c r="H200" s="55" t="n">
        <f aca="false">IFERROR(VLOOKUP(C200,المخزن!$B$2:$H$201,7,FALSE()),0)</f>
        <v>0</v>
      </c>
      <c r="I200" s="27" t="str">
        <f aca="false">IF(C200="","",E200*H200)</f>
        <v/>
      </c>
    </row>
    <row r="201" customFormat="false" ht="15" hidden="false" customHeight="true" outlineLevel="0" collapsed="false">
      <c r="A201" s="21" t="str">
        <f aca="false">IF(C201="","",ROW()-1)</f>
        <v/>
      </c>
      <c r="B201" s="53"/>
      <c r="C201" s="22"/>
      <c r="D201" s="54" t="str">
        <f aca="false">IFERROR(VLOOKUP(C201,المخزن!$B$2:$H$201,2,FALSE()),"")</f>
        <v/>
      </c>
      <c r="E201" s="24"/>
      <c r="F201" s="26"/>
      <c r="G201" s="27" t="str">
        <f aca="false">IF(C201="","",E201*F201)</f>
        <v/>
      </c>
      <c r="H201" s="55" t="n">
        <f aca="false">IFERROR(VLOOKUP(C201,المخزن!$B$2:$H$201,7,FALSE()),0)</f>
        <v>0</v>
      </c>
      <c r="I201" s="27" t="str">
        <f aca="false">IF(C201="","",E201*H201)</f>
        <v/>
      </c>
    </row>
    <row r="202" customFormat="false" ht="15" hidden="false" customHeight="true" outlineLevel="0" collapsed="false">
      <c r="A202" s="21" t="str">
        <f aca="false">IF(C202="","",ROW()-1)</f>
        <v/>
      </c>
      <c r="B202" s="53"/>
      <c r="C202" s="22"/>
      <c r="D202" s="54" t="str">
        <f aca="false">IFERROR(VLOOKUP(C202,المخزن!$B$2:$H$201,2,FALSE()),"")</f>
        <v/>
      </c>
      <c r="E202" s="24"/>
      <c r="F202" s="26"/>
      <c r="G202" s="27" t="str">
        <f aca="false">IF(C202="","",E202*F202)</f>
        <v/>
      </c>
      <c r="H202" s="55" t="n">
        <f aca="false">IFERROR(VLOOKUP(C202,المخزن!$B$2:$H$201,7,FALSE()),0)</f>
        <v>0</v>
      </c>
      <c r="I202" s="27" t="str">
        <f aca="false">IF(C202="","",E202*H202)</f>
        <v/>
      </c>
    </row>
    <row r="203" customFormat="false" ht="15" hidden="false" customHeight="true" outlineLevel="0" collapsed="false">
      <c r="A203" s="21" t="str">
        <f aca="false">IF(C203="","",ROW()-1)</f>
        <v/>
      </c>
      <c r="B203" s="53"/>
      <c r="C203" s="22"/>
      <c r="D203" s="54" t="str">
        <f aca="false">IFERROR(VLOOKUP(C203,المخزن!$B$2:$H$201,2,FALSE()),"")</f>
        <v/>
      </c>
      <c r="E203" s="24"/>
      <c r="F203" s="26"/>
      <c r="G203" s="27" t="str">
        <f aca="false">IF(C203="","",E203*F203)</f>
        <v/>
      </c>
      <c r="H203" s="55" t="n">
        <f aca="false">IFERROR(VLOOKUP(C203,المخزن!$B$2:$H$201,7,FALSE()),0)</f>
        <v>0</v>
      </c>
      <c r="I203" s="27" t="str">
        <f aca="false">IF(C203="","",E203*H203)</f>
        <v/>
      </c>
    </row>
    <row r="204" customFormat="false" ht="15" hidden="false" customHeight="true" outlineLevel="0" collapsed="false">
      <c r="A204" s="21" t="str">
        <f aca="false">IF(C204="","",ROW()-1)</f>
        <v/>
      </c>
      <c r="B204" s="53"/>
      <c r="C204" s="22"/>
      <c r="D204" s="54" t="str">
        <f aca="false">IFERROR(VLOOKUP(C204,المخزن!$B$2:$H$201,2,FALSE()),"")</f>
        <v/>
      </c>
      <c r="E204" s="24"/>
      <c r="F204" s="26"/>
      <c r="G204" s="27" t="str">
        <f aca="false">IF(C204="","",E204*F204)</f>
        <v/>
      </c>
      <c r="H204" s="55" t="n">
        <f aca="false">IFERROR(VLOOKUP(C204,المخزن!$B$2:$H$201,7,FALSE()),0)</f>
        <v>0</v>
      </c>
      <c r="I204" s="27" t="str">
        <f aca="false">IF(C204="","",E204*H204)</f>
        <v/>
      </c>
    </row>
    <row r="205" customFormat="false" ht="15" hidden="false" customHeight="true" outlineLevel="0" collapsed="false">
      <c r="A205" s="21" t="str">
        <f aca="false">IF(C205="","",ROW()-1)</f>
        <v/>
      </c>
      <c r="B205" s="53"/>
      <c r="C205" s="22"/>
      <c r="D205" s="54" t="str">
        <f aca="false">IFERROR(VLOOKUP(C205,المخزن!$B$2:$H$201,2,FALSE()),"")</f>
        <v/>
      </c>
      <c r="E205" s="24"/>
      <c r="F205" s="26"/>
      <c r="G205" s="27" t="str">
        <f aca="false">IF(C205="","",E205*F205)</f>
        <v/>
      </c>
      <c r="H205" s="55" t="n">
        <f aca="false">IFERROR(VLOOKUP(C205,المخزن!$B$2:$H$201,7,FALSE()),0)</f>
        <v>0</v>
      </c>
      <c r="I205" s="27" t="str">
        <f aca="false">IF(C205="","",E205*H205)</f>
        <v/>
      </c>
    </row>
    <row r="206" customFormat="false" ht="15" hidden="false" customHeight="true" outlineLevel="0" collapsed="false">
      <c r="A206" s="21" t="str">
        <f aca="false">IF(C206="","",ROW()-1)</f>
        <v/>
      </c>
      <c r="B206" s="53"/>
      <c r="C206" s="22"/>
      <c r="D206" s="54" t="str">
        <f aca="false">IFERROR(VLOOKUP(C206,المخزن!$B$2:$H$201,2,FALSE()),"")</f>
        <v/>
      </c>
      <c r="E206" s="24"/>
      <c r="F206" s="26"/>
      <c r="G206" s="27" t="str">
        <f aca="false">IF(C206="","",E206*F206)</f>
        <v/>
      </c>
      <c r="H206" s="55" t="n">
        <f aca="false">IFERROR(VLOOKUP(C206,المخزن!$B$2:$H$201,7,FALSE()),0)</f>
        <v>0</v>
      </c>
      <c r="I206" s="27" t="str">
        <f aca="false">IF(C206="","",E206*H206)</f>
        <v/>
      </c>
    </row>
    <row r="207" customFormat="false" ht="15" hidden="false" customHeight="true" outlineLevel="0" collapsed="false">
      <c r="A207" s="21" t="str">
        <f aca="false">IF(C207="","",ROW()-1)</f>
        <v/>
      </c>
      <c r="B207" s="53"/>
      <c r="C207" s="22"/>
      <c r="D207" s="54" t="str">
        <f aca="false">IFERROR(VLOOKUP(C207,المخزن!$B$2:$H$201,2,FALSE()),"")</f>
        <v/>
      </c>
      <c r="E207" s="24"/>
      <c r="F207" s="26"/>
      <c r="G207" s="27" t="str">
        <f aca="false">IF(C207="","",E207*F207)</f>
        <v/>
      </c>
      <c r="H207" s="55" t="n">
        <f aca="false">IFERROR(VLOOKUP(C207,المخزن!$B$2:$H$201,7,FALSE()),0)</f>
        <v>0</v>
      </c>
      <c r="I207" s="27" t="str">
        <f aca="false">IF(C207="","",E207*H207)</f>
        <v/>
      </c>
    </row>
    <row r="208" customFormat="false" ht="15" hidden="false" customHeight="true" outlineLevel="0" collapsed="false">
      <c r="A208" s="21" t="str">
        <f aca="false">IF(C208="","",ROW()-1)</f>
        <v/>
      </c>
      <c r="B208" s="53"/>
      <c r="C208" s="22"/>
      <c r="D208" s="54" t="str">
        <f aca="false">IFERROR(VLOOKUP(C208,المخزن!$B$2:$H$201,2,FALSE()),"")</f>
        <v/>
      </c>
      <c r="E208" s="24"/>
      <c r="F208" s="26"/>
      <c r="G208" s="27" t="str">
        <f aca="false">IF(C208="","",E208*F208)</f>
        <v/>
      </c>
      <c r="H208" s="55" t="n">
        <f aca="false">IFERROR(VLOOKUP(C208,المخزن!$B$2:$H$201,7,FALSE()),0)</f>
        <v>0</v>
      </c>
      <c r="I208" s="27" t="str">
        <f aca="false">IF(C208="","",E208*H208)</f>
        <v/>
      </c>
    </row>
    <row r="209" customFormat="false" ht="15" hidden="false" customHeight="true" outlineLevel="0" collapsed="false">
      <c r="A209" s="21" t="str">
        <f aca="false">IF(C209="","",ROW()-1)</f>
        <v/>
      </c>
      <c r="B209" s="53"/>
      <c r="C209" s="22"/>
      <c r="D209" s="54" t="str">
        <f aca="false">IFERROR(VLOOKUP(C209,المخزن!$B$2:$H$201,2,FALSE()),"")</f>
        <v/>
      </c>
      <c r="E209" s="24"/>
      <c r="F209" s="26"/>
      <c r="G209" s="27" t="str">
        <f aca="false">IF(C209="","",E209*F209)</f>
        <v/>
      </c>
      <c r="H209" s="55" t="n">
        <f aca="false">IFERROR(VLOOKUP(C209,المخزن!$B$2:$H$201,7,FALSE()),0)</f>
        <v>0</v>
      </c>
      <c r="I209" s="27" t="str">
        <f aca="false">IF(C209="","",E209*H209)</f>
        <v/>
      </c>
    </row>
    <row r="210" customFormat="false" ht="15" hidden="false" customHeight="true" outlineLevel="0" collapsed="false">
      <c r="A210" s="21" t="str">
        <f aca="false">IF(C210="","",ROW()-1)</f>
        <v/>
      </c>
      <c r="B210" s="53"/>
      <c r="C210" s="22"/>
      <c r="D210" s="54" t="str">
        <f aca="false">IFERROR(VLOOKUP(C210,المخزن!$B$2:$H$201,2,FALSE()),"")</f>
        <v/>
      </c>
      <c r="E210" s="24"/>
      <c r="F210" s="26"/>
      <c r="G210" s="27" t="str">
        <f aca="false">IF(C210="","",E210*F210)</f>
        <v/>
      </c>
      <c r="H210" s="55" t="n">
        <f aca="false">IFERROR(VLOOKUP(C210,المخزن!$B$2:$H$201,7,FALSE()),0)</f>
        <v>0</v>
      </c>
      <c r="I210" s="27" t="str">
        <f aca="false">IF(C210="","",E210*H210)</f>
        <v/>
      </c>
    </row>
    <row r="211" customFormat="false" ht="15" hidden="false" customHeight="true" outlineLevel="0" collapsed="false">
      <c r="A211" s="21" t="str">
        <f aca="false">IF(C211="","",ROW()-1)</f>
        <v/>
      </c>
      <c r="B211" s="53"/>
      <c r="C211" s="22"/>
      <c r="D211" s="54" t="str">
        <f aca="false">IFERROR(VLOOKUP(C211,المخزن!$B$2:$H$201,2,FALSE()),"")</f>
        <v/>
      </c>
      <c r="E211" s="24"/>
      <c r="F211" s="26"/>
      <c r="G211" s="27" t="str">
        <f aca="false">IF(C211="","",E211*F211)</f>
        <v/>
      </c>
      <c r="H211" s="55" t="n">
        <f aca="false">IFERROR(VLOOKUP(C211,المخزن!$B$2:$H$201,7,FALSE()),0)</f>
        <v>0</v>
      </c>
      <c r="I211" s="27" t="str">
        <f aca="false">IF(C211="","",E211*H211)</f>
        <v/>
      </c>
    </row>
    <row r="212" customFormat="false" ht="15" hidden="false" customHeight="true" outlineLevel="0" collapsed="false">
      <c r="A212" s="21" t="str">
        <f aca="false">IF(C212="","",ROW()-1)</f>
        <v/>
      </c>
      <c r="B212" s="53"/>
      <c r="C212" s="22"/>
      <c r="D212" s="54" t="str">
        <f aca="false">IFERROR(VLOOKUP(C212,المخزن!$B$2:$H$201,2,FALSE()),"")</f>
        <v/>
      </c>
      <c r="E212" s="24"/>
      <c r="F212" s="26"/>
      <c r="G212" s="27" t="str">
        <f aca="false">IF(C212="","",E212*F212)</f>
        <v/>
      </c>
      <c r="H212" s="55" t="n">
        <f aca="false">IFERROR(VLOOKUP(C212,المخزن!$B$2:$H$201,7,FALSE()),0)</f>
        <v>0</v>
      </c>
      <c r="I212" s="27" t="str">
        <f aca="false">IF(C212="","",E212*H212)</f>
        <v/>
      </c>
    </row>
    <row r="213" customFormat="false" ht="15" hidden="false" customHeight="true" outlineLevel="0" collapsed="false">
      <c r="A213" s="21" t="str">
        <f aca="false">IF(C213="","",ROW()-1)</f>
        <v/>
      </c>
      <c r="B213" s="53"/>
      <c r="C213" s="22"/>
      <c r="D213" s="54" t="str">
        <f aca="false">IFERROR(VLOOKUP(C213,المخزن!$B$2:$H$201,2,FALSE()),"")</f>
        <v/>
      </c>
      <c r="E213" s="24"/>
      <c r="F213" s="26"/>
      <c r="G213" s="27" t="str">
        <f aca="false">IF(C213="","",E213*F213)</f>
        <v/>
      </c>
      <c r="H213" s="55" t="n">
        <f aca="false">IFERROR(VLOOKUP(C213,المخزن!$B$2:$H$201,7,FALSE()),0)</f>
        <v>0</v>
      </c>
      <c r="I213" s="27" t="str">
        <f aca="false">IF(C213="","",E213*H213)</f>
        <v/>
      </c>
    </row>
    <row r="214" customFormat="false" ht="15" hidden="false" customHeight="true" outlineLevel="0" collapsed="false">
      <c r="A214" s="21" t="str">
        <f aca="false">IF(C214="","",ROW()-1)</f>
        <v/>
      </c>
      <c r="B214" s="53"/>
      <c r="C214" s="22"/>
      <c r="D214" s="54" t="str">
        <f aca="false">IFERROR(VLOOKUP(C214,المخزن!$B$2:$H$201,2,FALSE()),"")</f>
        <v/>
      </c>
      <c r="E214" s="24"/>
      <c r="F214" s="26"/>
      <c r="G214" s="27" t="str">
        <f aca="false">IF(C214="","",E214*F214)</f>
        <v/>
      </c>
      <c r="H214" s="55" t="n">
        <f aca="false">IFERROR(VLOOKUP(C214,المخزن!$B$2:$H$201,7,FALSE()),0)</f>
        <v>0</v>
      </c>
      <c r="I214" s="27" t="str">
        <f aca="false">IF(C214="","",E214*H214)</f>
        <v/>
      </c>
    </row>
    <row r="215" customFormat="false" ht="15" hidden="false" customHeight="true" outlineLevel="0" collapsed="false">
      <c r="A215" s="21" t="str">
        <f aca="false">IF(C215="","",ROW()-1)</f>
        <v/>
      </c>
      <c r="B215" s="53"/>
      <c r="C215" s="22"/>
      <c r="D215" s="54" t="str">
        <f aca="false">IFERROR(VLOOKUP(C215,المخزن!$B$2:$H$201,2,FALSE()),"")</f>
        <v/>
      </c>
      <c r="E215" s="24"/>
      <c r="F215" s="26"/>
      <c r="G215" s="27" t="str">
        <f aca="false">IF(C215="","",E215*F215)</f>
        <v/>
      </c>
      <c r="H215" s="55" t="n">
        <f aca="false">IFERROR(VLOOKUP(C215,المخزن!$B$2:$H$201,7,FALSE()),0)</f>
        <v>0</v>
      </c>
      <c r="I215" s="27" t="str">
        <f aca="false">IF(C215="","",E215*H215)</f>
        <v/>
      </c>
    </row>
    <row r="216" customFormat="false" ht="15" hidden="false" customHeight="true" outlineLevel="0" collapsed="false">
      <c r="A216" s="21" t="str">
        <f aca="false">IF(C216="","",ROW()-1)</f>
        <v/>
      </c>
      <c r="B216" s="53"/>
      <c r="C216" s="22"/>
      <c r="D216" s="54" t="str">
        <f aca="false">IFERROR(VLOOKUP(C216,المخزن!$B$2:$H$201,2,FALSE()),"")</f>
        <v/>
      </c>
      <c r="E216" s="24"/>
      <c r="F216" s="26"/>
      <c r="G216" s="27" t="str">
        <f aca="false">IF(C216="","",E216*F216)</f>
        <v/>
      </c>
      <c r="H216" s="55" t="n">
        <f aca="false">IFERROR(VLOOKUP(C216,المخزن!$B$2:$H$201,7,FALSE()),0)</f>
        <v>0</v>
      </c>
      <c r="I216" s="27" t="str">
        <f aca="false">IF(C216="","",E216*H216)</f>
        <v/>
      </c>
    </row>
    <row r="217" customFormat="false" ht="15" hidden="false" customHeight="true" outlineLevel="0" collapsed="false">
      <c r="A217" s="21" t="str">
        <f aca="false">IF(C217="","",ROW()-1)</f>
        <v/>
      </c>
      <c r="B217" s="53"/>
      <c r="C217" s="22"/>
      <c r="D217" s="54" t="str">
        <f aca="false">IFERROR(VLOOKUP(C217,المخزن!$B$2:$H$201,2,FALSE()),"")</f>
        <v/>
      </c>
      <c r="E217" s="24"/>
      <c r="F217" s="26"/>
      <c r="G217" s="27" t="str">
        <f aca="false">IF(C217="","",E217*F217)</f>
        <v/>
      </c>
      <c r="H217" s="55" t="n">
        <f aca="false">IFERROR(VLOOKUP(C217,المخزن!$B$2:$H$201,7,FALSE()),0)</f>
        <v>0</v>
      </c>
      <c r="I217" s="27" t="str">
        <f aca="false">IF(C217="","",E217*H217)</f>
        <v/>
      </c>
    </row>
    <row r="218" customFormat="false" ht="15" hidden="false" customHeight="true" outlineLevel="0" collapsed="false">
      <c r="A218" s="21" t="str">
        <f aca="false">IF(C218="","",ROW()-1)</f>
        <v/>
      </c>
      <c r="B218" s="53"/>
      <c r="C218" s="22"/>
      <c r="D218" s="54" t="str">
        <f aca="false">IFERROR(VLOOKUP(C218,المخزن!$B$2:$H$201,2,FALSE()),"")</f>
        <v/>
      </c>
      <c r="E218" s="24"/>
      <c r="F218" s="26"/>
      <c r="G218" s="27" t="str">
        <f aca="false">IF(C218="","",E218*F218)</f>
        <v/>
      </c>
      <c r="H218" s="55" t="n">
        <f aca="false">IFERROR(VLOOKUP(C218,المخزن!$B$2:$H$201,7,FALSE()),0)</f>
        <v>0</v>
      </c>
      <c r="I218" s="27" t="str">
        <f aca="false">IF(C218="","",E218*H218)</f>
        <v/>
      </c>
    </row>
    <row r="219" customFormat="false" ht="15" hidden="false" customHeight="true" outlineLevel="0" collapsed="false">
      <c r="A219" s="21" t="str">
        <f aca="false">IF(C219="","",ROW()-1)</f>
        <v/>
      </c>
      <c r="B219" s="53"/>
      <c r="C219" s="22"/>
      <c r="D219" s="54" t="str">
        <f aca="false">IFERROR(VLOOKUP(C219,المخزن!$B$2:$H$201,2,FALSE()),"")</f>
        <v/>
      </c>
      <c r="E219" s="24"/>
      <c r="F219" s="26"/>
      <c r="G219" s="27" t="str">
        <f aca="false">IF(C219="","",E219*F219)</f>
        <v/>
      </c>
      <c r="H219" s="55" t="n">
        <f aca="false">IFERROR(VLOOKUP(C219,المخزن!$B$2:$H$201,7,FALSE()),0)</f>
        <v>0</v>
      </c>
      <c r="I219" s="27" t="str">
        <f aca="false">IF(C219="","",E219*H219)</f>
        <v/>
      </c>
    </row>
    <row r="220" customFormat="false" ht="15" hidden="false" customHeight="true" outlineLevel="0" collapsed="false">
      <c r="A220" s="21" t="str">
        <f aca="false">IF(C220="","",ROW()-1)</f>
        <v/>
      </c>
      <c r="B220" s="53"/>
      <c r="C220" s="22"/>
      <c r="D220" s="54" t="str">
        <f aca="false">IFERROR(VLOOKUP(C220,المخزن!$B$2:$H$201,2,FALSE()),"")</f>
        <v/>
      </c>
      <c r="E220" s="24"/>
      <c r="F220" s="26"/>
      <c r="G220" s="27" t="str">
        <f aca="false">IF(C220="","",E220*F220)</f>
        <v/>
      </c>
      <c r="H220" s="55" t="n">
        <f aca="false">IFERROR(VLOOKUP(C220,المخزن!$B$2:$H$201,7,FALSE()),0)</f>
        <v>0</v>
      </c>
      <c r="I220" s="27" t="str">
        <f aca="false">IF(C220="","",E220*H220)</f>
        <v/>
      </c>
    </row>
    <row r="221" customFormat="false" ht="15" hidden="false" customHeight="true" outlineLevel="0" collapsed="false">
      <c r="A221" s="21" t="str">
        <f aca="false">IF(C221="","",ROW()-1)</f>
        <v/>
      </c>
      <c r="B221" s="53"/>
      <c r="C221" s="22"/>
      <c r="D221" s="54" t="str">
        <f aca="false">IFERROR(VLOOKUP(C221,المخزن!$B$2:$H$201,2,FALSE()),"")</f>
        <v/>
      </c>
      <c r="E221" s="24"/>
      <c r="F221" s="26"/>
      <c r="G221" s="27" t="str">
        <f aca="false">IF(C221="","",E221*F221)</f>
        <v/>
      </c>
      <c r="H221" s="55" t="n">
        <f aca="false">IFERROR(VLOOKUP(C221,المخزن!$B$2:$H$201,7,FALSE()),0)</f>
        <v>0</v>
      </c>
      <c r="I221" s="27" t="str">
        <f aca="false">IF(C221="","",E221*H221)</f>
        <v/>
      </c>
    </row>
    <row r="222" customFormat="false" ht="15" hidden="false" customHeight="true" outlineLevel="0" collapsed="false">
      <c r="A222" s="21" t="str">
        <f aca="false">IF(C222="","",ROW()-1)</f>
        <v/>
      </c>
      <c r="B222" s="53"/>
      <c r="C222" s="22"/>
      <c r="D222" s="54" t="str">
        <f aca="false">IFERROR(VLOOKUP(C222,المخزن!$B$2:$H$201,2,FALSE()),"")</f>
        <v/>
      </c>
      <c r="E222" s="24"/>
      <c r="F222" s="26"/>
      <c r="G222" s="27" t="str">
        <f aca="false">IF(C222="","",E222*F222)</f>
        <v/>
      </c>
      <c r="H222" s="55" t="n">
        <f aca="false">IFERROR(VLOOKUP(C222,المخزن!$B$2:$H$201,7,FALSE()),0)</f>
        <v>0</v>
      </c>
      <c r="I222" s="27" t="str">
        <f aca="false">IF(C222="","",E222*H222)</f>
        <v/>
      </c>
    </row>
    <row r="223" customFormat="false" ht="15" hidden="false" customHeight="true" outlineLevel="0" collapsed="false">
      <c r="A223" s="21" t="str">
        <f aca="false">IF(C223="","",ROW()-1)</f>
        <v/>
      </c>
      <c r="B223" s="53"/>
      <c r="C223" s="22"/>
      <c r="D223" s="54" t="str">
        <f aca="false">IFERROR(VLOOKUP(C223,المخزن!$B$2:$H$201,2,FALSE()),"")</f>
        <v/>
      </c>
      <c r="E223" s="24"/>
      <c r="F223" s="26"/>
      <c r="G223" s="27" t="str">
        <f aca="false">IF(C223="","",E223*F223)</f>
        <v/>
      </c>
      <c r="H223" s="55" t="n">
        <f aca="false">IFERROR(VLOOKUP(C223,المخزن!$B$2:$H$201,7,FALSE()),0)</f>
        <v>0</v>
      </c>
      <c r="I223" s="27" t="str">
        <f aca="false">IF(C223="","",E223*H223)</f>
        <v/>
      </c>
    </row>
    <row r="224" customFormat="false" ht="15" hidden="false" customHeight="true" outlineLevel="0" collapsed="false">
      <c r="A224" s="21" t="str">
        <f aca="false">IF(C224="","",ROW()-1)</f>
        <v/>
      </c>
      <c r="B224" s="53"/>
      <c r="C224" s="22"/>
      <c r="D224" s="54" t="str">
        <f aca="false">IFERROR(VLOOKUP(C224,المخزن!$B$2:$H$201,2,FALSE()),"")</f>
        <v/>
      </c>
      <c r="E224" s="24"/>
      <c r="F224" s="26"/>
      <c r="G224" s="27" t="str">
        <f aca="false">IF(C224="","",E224*F224)</f>
        <v/>
      </c>
      <c r="H224" s="55" t="n">
        <f aca="false">IFERROR(VLOOKUP(C224,المخزن!$B$2:$H$201,7,FALSE()),0)</f>
        <v>0</v>
      </c>
      <c r="I224" s="27" t="str">
        <f aca="false">IF(C224="","",E224*H224)</f>
        <v/>
      </c>
    </row>
    <row r="225" customFormat="false" ht="15" hidden="false" customHeight="true" outlineLevel="0" collapsed="false">
      <c r="A225" s="21" t="str">
        <f aca="false">IF(C225="","",ROW()-1)</f>
        <v/>
      </c>
      <c r="B225" s="53"/>
      <c r="C225" s="22"/>
      <c r="D225" s="54" t="str">
        <f aca="false">IFERROR(VLOOKUP(C225,المخزن!$B$2:$H$201,2,FALSE()),"")</f>
        <v/>
      </c>
      <c r="E225" s="24"/>
      <c r="F225" s="26"/>
      <c r="G225" s="27" t="str">
        <f aca="false">IF(C225="","",E225*F225)</f>
        <v/>
      </c>
      <c r="H225" s="55" t="n">
        <f aca="false">IFERROR(VLOOKUP(C225,المخزن!$B$2:$H$201,7,FALSE()),0)</f>
        <v>0</v>
      </c>
      <c r="I225" s="27" t="str">
        <f aca="false">IF(C225="","",E225*H225)</f>
        <v/>
      </c>
    </row>
    <row r="226" customFormat="false" ht="15" hidden="false" customHeight="true" outlineLevel="0" collapsed="false">
      <c r="A226" s="21" t="str">
        <f aca="false">IF(C226="","",ROW()-1)</f>
        <v/>
      </c>
      <c r="B226" s="53"/>
      <c r="C226" s="22"/>
      <c r="D226" s="54" t="str">
        <f aca="false">IFERROR(VLOOKUP(C226,المخزن!$B$2:$H$201,2,FALSE()),"")</f>
        <v/>
      </c>
      <c r="E226" s="24"/>
      <c r="F226" s="26"/>
      <c r="G226" s="27" t="str">
        <f aca="false">IF(C226="","",E226*F226)</f>
        <v/>
      </c>
      <c r="H226" s="55" t="n">
        <f aca="false">IFERROR(VLOOKUP(C226,المخزن!$B$2:$H$201,7,FALSE()),0)</f>
        <v>0</v>
      </c>
      <c r="I226" s="27" t="str">
        <f aca="false">IF(C226="","",E226*H226)</f>
        <v/>
      </c>
    </row>
    <row r="227" customFormat="false" ht="15" hidden="false" customHeight="true" outlineLevel="0" collapsed="false">
      <c r="A227" s="21" t="str">
        <f aca="false">IF(C227="","",ROW()-1)</f>
        <v/>
      </c>
      <c r="B227" s="53"/>
      <c r="C227" s="22"/>
      <c r="D227" s="54" t="str">
        <f aca="false">IFERROR(VLOOKUP(C227,المخزن!$B$2:$H$201,2,FALSE()),"")</f>
        <v/>
      </c>
      <c r="E227" s="24"/>
      <c r="F227" s="26"/>
      <c r="G227" s="27" t="str">
        <f aca="false">IF(C227="","",E227*F227)</f>
        <v/>
      </c>
      <c r="H227" s="55" t="n">
        <f aca="false">IFERROR(VLOOKUP(C227,المخزن!$B$2:$H$201,7,FALSE()),0)</f>
        <v>0</v>
      </c>
      <c r="I227" s="27" t="str">
        <f aca="false">IF(C227="","",E227*H227)</f>
        <v/>
      </c>
    </row>
    <row r="228" customFormat="false" ht="15" hidden="false" customHeight="true" outlineLevel="0" collapsed="false">
      <c r="A228" s="21" t="str">
        <f aca="false">IF(C228="","",ROW()-1)</f>
        <v/>
      </c>
      <c r="B228" s="53"/>
      <c r="C228" s="22"/>
      <c r="D228" s="54" t="str">
        <f aca="false">IFERROR(VLOOKUP(C228,المخزن!$B$2:$H$201,2,FALSE()),"")</f>
        <v/>
      </c>
      <c r="E228" s="24"/>
      <c r="F228" s="26"/>
      <c r="G228" s="27" t="str">
        <f aca="false">IF(C228="","",E228*F228)</f>
        <v/>
      </c>
      <c r="H228" s="55" t="n">
        <f aca="false">IFERROR(VLOOKUP(C228,المخزن!$B$2:$H$201,7,FALSE()),0)</f>
        <v>0</v>
      </c>
      <c r="I228" s="27" t="str">
        <f aca="false">IF(C228="","",E228*H228)</f>
        <v/>
      </c>
    </row>
    <row r="229" customFormat="false" ht="15" hidden="false" customHeight="true" outlineLevel="0" collapsed="false">
      <c r="A229" s="21" t="str">
        <f aca="false">IF(C229="","",ROW()-1)</f>
        <v/>
      </c>
      <c r="B229" s="53"/>
      <c r="C229" s="22"/>
      <c r="D229" s="54" t="str">
        <f aca="false">IFERROR(VLOOKUP(C229,المخزن!$B$2:$H$201,2,FALSE()),"")</f>
        <v/>
      </c>
      <c r="E229" s="24"/>
      <c r="F229" s="26"/>
      <c r="G229" s="27" t="str">
        <f aca="false">IF(C229="","",E229*F229)</f>
        <v/>
      </c>
      <c r="H229" s="55" t="n">
        <f aca="false">IFERROR(VLOOKUP(C229,المخزن!$B$2:$H$201,7,FALSE()),0)</f>
        <v>0</v>
      </c>
      <c r="I229" s="27" t="str">
        <f aca="false">IF(C229="","",E229*H229)</f>
        <v/>
      </c>
    </row>
    <row r="230" customFormat="false" ht="15" hidden="false" customHeight="true" outlineLevel="0" collapsed="false">
      <c r="A230" s="21" t="str">
        <f aca="false">IF(C230="","",ROW()-1)</f>
        <v/>
      </c>
      <c r="B230" s="53"/>
      <c r="C230" s="22"/>
      <c r="D230" s="54" t="str">
        <f aca="false">IFERROR(VLOOKUP(C230,المخزن!$B$2:$H$201,2,FALSE()),"")</f>
        <v/>
      </c>
      <c r="E230" s="24"/>
      <c r="F230" s="26"/>
      <c r="G230" s="27" t="str">
        <f aca="false">IF(C230="","",E230*F230)</f>
        <v/>
      </c>
      <c r="H230" s="55" t="n">
        <f aca="false">IFERROR(VLOOKUP(C230,المخزن!$B$2:$H$201,7,FALSE()),0)</f>
        <v>0</v>
      </c>
      <c r="I230" s="27" t="str">
        <f aca="false">IF(C230="","",E230*H230)</f>
        <v/>
      </c>
    </row>
    <row r="231" customFormat="false" ht="15" hidden="false" customHeight="true" outlineLevel="0" collapsed="false">
      <c r="A231" s="21" t="str">
        <f aca="false">IF(C231="","",ROW()-1)</f>
        <v/>
      </c>
      <c r="B231" s="53"/>
      <c r="C231" s="22"/>
      <c r="D231" s="54" t="str">
        <f aca="false">IFERROR(VLOOKUP(C231,المخزن!$B$2:$H$201,2,FALSE()),"")</f>
        <v/>
      </c>
      <c r="E231" s="24"/>
      <c r="F231" s="26"/>
      <c r="G231" s="27" t="str">
        <f aca="false">IF(C231="","",E231*F231)</f>
        <v/>
      </c>
      <c r="H231" s="55" t="n">
        <f aca="false">IFERROR(VLOOKUP(C231,المخزن!$B$2:$H$201,7,FALSE()),0)</f>
        <v>0</v>
      </c>
      <c r="I231" s="27" t="str">
        <f aca="false">IF(C231="","",E231*H231)</f>
        <v/>
      </c>
    </row>
    <row r="232" customFormat="false" ht="15" hidden="false" customHeight="true" outlineLevel="0" collapsed="false">
      <c r="A232" s="21" t="str">
        <f aca="false">IF(C232="","",ROW()-1)</f>
        <v/>
      </c>
      <c r="B232" s="53"/>
      <c r="C232" s="22"/>
      <c r="D232" s="54" t="str">
        <f aca="false">IFERROR(VLOOKUP(C232,المخزن!$B$2:$H$201,2,FALSE()),"")</f>
        <v/>
      </c>
      <c r="E232" s="24"/>
      <c r="F232" s="26"/>
      <c r="G232" s="27" t="str">
        <f aca="false">IF(C232="","",E232*F232)</f>
        <v/>
      </c>
      <c r="H232" s="55" t="n">
        <f aca="false">IFERROR(VLOOKUP(C232,المخزن!$B$2:$H$201,7,FALSE()),0)</f>
        <v>0</v>
      </c>
      <c r="I232" s="27" t="str">
        <f aca="false">IF(C232="","",E232*H232)</f>
        <v/>
      </c>
    </row>
    <row r="233" customFormat="false" ht="15" hidden="false" customHeight="true" outlineLevel="0" collapsed="false">
      <c r="A233" s="21" t="str">
        <f aca="false">IF(C233="","",ROW()-1)</f>
        <v/>
      </c>
      <c r="B233" s="53"/>
      <c r="C233" s="22"/>
      <c r="D233" s="54" t="str">
        <f aca="false">IFERROR(VLOOKUP(C233,المخزن!$B$2:$H$201,2,FALSE()),"")</f>
        <v/>
      </c>
      <c r="E233" s="24"/>
      <c r="F233" s="26"/>
      <c r="G233" s="27" t="str">
        <f aca="false">IF(C233="","",E233*F233)</f>
        <v/>
      </c>
      <c r="H233" s="55" t="n">
        <f aca="false">IFERROR(VLOOKUP(C233,المخزن!$B$2:$H$201,7,FALSE()),0)</f>
        <v>0</v>
      </c>
      <c r="I233" s="27" t="str">
        <f aca="false">IF(C233="","",E233*H233)</f>
        <v/>
      </c>
    </row>
    <row r="234" customFormat="false" ht="15" hidden="false" customHeight="true" outlineLevel="0" collapsed="false">
      <c r="A234" s="21" t="str">
        <f aca="false">IF(C234="","",ROW()-1)</f>
        <v/>
      </c>
      <c r="B234" s="53"/>
      <c r="C234" s="22"/>
      <c r="D234" s="54" t="str">
        <f aca="false">IFERROR(VLOOKUP(C234,المخزن!$B$2:$H$201,2,FALSE()),"")</f>
        <v/>
      </c>
      <c r="E234" s="24"/>
      <c r="F234" s="26"/>
      <c r="G234" s="27" t="str">
        <f aca="false">IF(C234="","",E234*F234)</f>
        <v/>
      </c>
      <c r="H234" s="55" t="n">
        <f aca="false">IFERROR(VLOOKUP(C234,المخزن!$B$2:$H$201,7,FALSE()),0)</f>
        <v>0</v>
      </c>
      <c r="I234" s="27" t="str">
        <f aca="false">IF(C234="","",E234*H234)</f>
        <v/>
      </c>
    </row>
    <row r="235" customFormat="false" ht="15" hidden="false" customHeight="true" outlineLevel="0" collapsed="false">
      <c r="A235" s="21" t="str">
        <f aca="false">IF(C235="","",ROW()-1)</f>
        <v/>
      </c>
      <c r="B235" s="53"/>
      <c r="C235" s="22"/>
      <c r="D235" s="54" t="str">
        <f aca="false">IFERROR(VLOOKUP(C235,المخزن!$B$2:$H$201,2,FALSE()),"")</f>
        <v/>
      </c>
      <c r="E235" s="24"/>
      <c r="F235" s="26"/>
      <c r="G235" s="27" t="str">
        <f aca="false">IF(C235="","",E235*F235)</f>
        <v/>
      </c>
      <c r="H235" s="55" t="n">
        <f aca="false">IFERROR(VLOOKUP(C235,المخزن!$B$2:$H$201,7,FALSE()),0)</f>
        <v>0</v>
      </c>
      <c r="I235" s="27" t="str">
        <f aca="false">IF(C235="","",E235*H235)</f>
        <v/>
      </c>
    </row>
    <row r="236" customFormat="false" ht="15" hidden="false" customHeight="true" outlineLevel="0" collapsed="false">
      <c r="A236" s="21" t="str">
        <f aca="false">IF(C236="","",ROW()-1)</f>
        <v/>
      </c>
      <c r="B236" s="53"/>
      <c r="C236" s="22"/>
      <c r="D236" s="54" t="str">
        <f aca="false">IFERROR(VLOOKUP(C236,المخزن!$B$2:$H$201,2,FALSE()),"")</f>
        <v/>
      </c>
      <c r="E236" s="24"/>
      <c r="F236" s="26"/>
      <c r="G236" s="27" t="str">
        <f aca="false">IF(C236="","",E236*F236)</f>
        <v/>
      </c>
      <c r="H236" s="55" t="n">
        <f aca="false">IFERROR(VLOOKUP(C236,المخزن!$B$2:$H$201,7,FALSE()),0)</f>
        <v>0</v>
      </c>
      <c r="I236" s="27" t="str">
        <f aca="false">IF(C236="","",E236*H236)</f>
        <v/>
      </c>
    </row>
    <row r="237" customFormat="false" ht="15" hidden="false" customHeight="true" outlineLevel="0" collapsed="false">
      <c r="A237" s="21" t="str">
        <f aca="false">IF(C237="","",ROW()-1)</f>
        <v/>
      </c>
      <c r="B237" s="53"/>
      <c r="C237" s="22"/>
      <c r="D237" s="54" t="str">
        <f aca="false">IFERROR(VLOOKUP(C237,المخزن!$B$2:$H$201,2,FALSE()),"")</f>
        <v/>
      </c>
      <c r="E237" s="24"/>
      <c r="F237" s="26"/>
      <c r="G237" s="27" t="str">
        <f aca="false">IF(C237="","",E237*F237)</f>
        <v/>
      </c>
      <c r="H237" s="55" t="n">
        <f aca="false">IFERROR(VLOOKUP(C237,المخزن!$B$2:$H$201,7,FALSE()),0)</f>
        <v>0</v>
      </c>
      <c r="I237" s="27" t="str">
        <f aca="false">IF(C237="","",E237*H237)</f>
        <v/>
      </c>
    </row>
    <row r="238" customFormat="false" ht="15" hidden="false" customHeight="true" outlineLevel="0" collapsed="false">
      <c r="A238" s="21" t="str">
        <f aca="false">IF(C238="","",ROW()-1)</f>
        <v/>
      </c>
      <c r="B238" s="53"/>
      <c r="C238" s="22"/>
      <c r="D238" s="54" t="str">
        <f aca="false">IFERROR(VLOOKUP(C238,المخزن!$B$2:$H$201,2,FALSE()),"")</f>
        <v/>
      </c>
      <c r="E238" s="24"/>
      <c r="F238" s="26"/>
      <c r="G238" s="27" t="str">
        <f aca="false">IF(C238="","",E238*F238)</f>
        <v/>
      </c>
      <c r="H238" s="55" t="n">
        <f aca="false">IFERROR(VLOOKUP(C238,المخزن!$B$2:$H$201,7,FALSE()),0)</f>
        <v>0</v>
      </c>
      <c r="I238" s="27" t="str">
        <f aca="false">IF(C238="","",E238*H238)</f>
        <v/>
      </c>
    </row>
    <row r="239" customFormat="false" ht="15" hidden="false" customHeight="true" outlineLevel="0" collapsed="false">
      <c r="A239" s="21" t="str">
        <f aca="false">IF(C239="","",ROW()-1)</f>
        <v/>
      </c>
      <c r="B239" s="53"/>
      <c r="C239" s="22"/>
      <c r="D239" s="54" t="str">
        <f aca="false">IFERROR(VLOOKUP(C239,المخزن!$B$2:$H$201,2,FALSE()),"")</f>
        <v/>
      </c>
      <c r="E239" s="24"/>
      <c r="F239" s="26"/>
      <c r="G239" s="27" t="str">
        <f aca="false">IF(C239="","",E239*F239)</f>
        <v/>
      </c>
      <c r="H239" s="55" t="n">
        <f aca="false">IFERROR(VLOOKUP(C239,المخزن!$B$2:$H$201,7,FALSE()),0)</f>
        <v>0</v>
      </c>
      <c r="I239" s="27" t="str">
        <f aca="false">IF(C239="","",E239*H239)</f>
        <v/>
      </c>
    </row>
    <row r="240" customFormat="false" ht="15" hidden="false" customHeight="true" outlineLevel="0" collapsed="false">
      <c r="A240" s="21" t="str">
        <f aca="false">IF(C240="","",ROW()-1)</f>
        <v/>
      </c>
      <c r="B240" s="53"/>
      <c r="C240" s="22"/>
      <c r="D240" s="54" t="str">
        <f aca="false">IFERROR(VLOOKUP(C240,المخزن!$B$2:$H$201,2,FALSE()),"")</f>
        <v/>
      </c>
      <c r="E240" s="24"/>
      <c r="F240" s="26"/>
      <c r="G240" s="27" t="str">
        <f aca="false">IF(C240="","",E240*F240)</f>
        <v/>
      </c>
      <c r="H240" s="55" t="n">
        <f aca="false">IFERROR(VLOOKUP(C240,المخزن!$B$2:$H$201,7,FALSE()),0)</f>
        <v>0</v>
      </c>
      <c r="I240" s="27" t="str">
        <f aca="false">IF(C240="","",E240*H240)</f>
        <v/>
      </c>
    </row>
    <row r="241" customFormat="false" ht="15" hidden="false" customHeight="true" outlineLevel="0" collapsed="false">
      <c r="A241" s="21" t="str">
        <f aca="false">IF(C241="","",ROW()-1)</f>
        <v/>
      </c>
      <c r="B241" s="53"/>
      <c r="C241" s="22"/>
      <c r="D241" s="54" t="str">
        <f aca="false">IFERROR(VLOOKUP(C241,المخزن!$B$2:$H$201,2,FALSE()),"")</f>
        <v/>
      </c>
      <c r="E241" s="24"/>
      <c r="F241" s="26"/>
      <c r="G241" s="27" t="str">
        <f aca="false">IF(C241="","",E241*F241)</f>
        <v/>
      </c>
      <c r="H241" s="55" t="n">
        <f aca="false">IFERROR(VLOOKUP(C241,المخزن!$B$2:$H$201,7,FALSE()),0)</f>
        <v>0</v>
      </c>
      <c r="I241" s="27" t="str">
        <f aca="false">IF(C241="","",E241*H241)</f>
        <v/>
      </c>
    </row>
    <row r="242" customFormat="false" ht="15" hidden="false" customHeight="true" outlineLevel="0" collapsed="false">
      <c r="A242" s="21" t="str">
        <f aca="false">IF(C242="","",ROW()-1)</f>
        <v/>
      </c>
      <c r="B242" s="53"/>
      <c r="C242" s="22"/>
      <c r="D242" s="54" t="str">
        <f aca="false">IFERROR(VLOOKUP(C242,المخزن!$B$2:$H$201,2,FALSE()),"")</f>
        <v/>
      </c>
      <c r="E242" s="24"/>
      <c r="F242" s="26"/>
      <c r="G242" s="27" t="str">
        <f aca="false">IF(C242="","",E242*F242)</f>
        <v/>
      </c>
      <c r="H242" s="55" t="n">
        <f aca="false">IFERROR(VLOOKUP(C242,المخزن!$B$2:$H$201,7,FALSE()),0)</f>
        <v>0</v>
      </c>
      <c r="I242" s="27" t="str">
        <f aca="false">IF(C242="","",E242*H242)</f>
        <v/>
      </c>
    </row>
    <row r="243" customFormat="false" ht="15" hidden="false" customHeight="true" outlineLevel="0" collapsed="false">
      <c r="A243" s="21" t="str">
        <f aca="false">IF(C243="","",ROW()-1)</f>
        <v/>
      </c>
      <c r="B243" s="53"/>
      <c r="C243" s="22"/>
      <c r="D243" s="54" t="str">
        <f aca="false">IFERROR(VLOOKUP(C243,المخزن!$B$2:$H$201,2,FALSE()),"")</f>
        <v/>
      </c>
      <c r="E243" s="24"/>
      <c r="F243" s="26"/>
      <c r="G243" s="27" t="str">
        <f aca="false">IF(C243="","",E243*F243)</f>
        <v/>
      </c>
      <c r="H243" s="55" t="n">
        <f aca="false">IFERROR(VLOOKUP(C243,المخزن!$B$2:$H$201,7,FALSE()),0)</f>
        <v>0</v>
      </c>
      <c r="I243" s="27" t="str">
        <f aca="false">IF(C243="","",E243*H243)</f>
        <v/>
      </c>
    </row>
    <row r="244" customFormat="false" ht="15" hidden="false" customHeight="true" outlineLevel="0" collapsed="false">
      <c r="A244" s="21" t="str">
        <f aca="false">IF(C244="","",ROW()-1)</f>
        <v/>
      </c>
      <c r="B244" s="53"/>
      <c r="C244" s="22"/>
      <c r="D244" s="54" t="str">
        <f aca="false">IFERROR(VLOOKUP(C244,المخزن!$B$2:$H$201,2,FALSE()),"")</f>
        <v/>
      </c>
      <c r="E244" s="24"/>
      <c r="F244" s="26"/>
      <c r="G244" s="27" t="str">
        <f aca="false">IF(C244="","",E244*F244)</f>
        <v/>
      </c>
      <c r="H244" s="55" t="n">
        <f aca="false">IFERROR(VLOOKUP(C244,المخزن!$B$2:$H$201,7,FALSE()),0)</f>
        <v>0</v>
      </c>
      <c r="I244" s="27" t="str">
        <f aca="false">IF(C244="","",E244*H244)</f>
        <v/>
      </c>
    </row>
    <row r="245" customFormat="false" ht="15" hidden="false" customHeight="true" outlineLevel="0" collapsed="false">
      <c r="A245" s="21" t="str">
        <f aca="false">IF(C245="","",ROW()-1)</f>
        <v/>
      </c>
      <c r="B245" s="53"/>
      <c r="C245" s="22"/>
      <c r="D245" s="54" t="str">
        <f aca="false">IFERROR(VLOOKUP(C245,المخزن!$B$2:$H$201,2,FALSE()),"")</f>
        <v/>
      </c>
      <c r="E245" s="24"/>
      <c r="F245" s="26"/>
      <c r="G245" s="27" t="str">
        <f aca="false">IF(C245="","",E245*F245)</f>
        <v/>
      </c>
      <c r="H245" s="55" t="n">
        <f aca="false">IFERROR(VLOOKUP(C245,المخزن!$B$2:$H$201,7,FALSE()),0)</f>
        <v>0</v>
      </c>
      <c r="I245" s="27" t="str">
        <f aca="false">IF(C245="","",E245*H245)</f>
        <v/>
      </c>
    </row>
    <row r="246" customFormat="false" ht="15" hidden="false" customHeight="true" outlineLevel="0" collapsed="false">
      <c r="A246" s="21" t="str">
        <f aca="false">IF(C246="","",ROW()-1)</f>
        <v/>
      </c>
      <c r="B246" s="53"/>
      <c r="C246" s="22"/>
      <c r="D246" s="54" t="str">
        <f aca="false">IFERROR(VLOOKUP(C246,المخزن!$B$2:$H$201,2,FALSE()),"")</f>
        <v/>
      </c>
      <c r="E246" s="24"/>
      <c r="F246" s="26"/>
      <c r="G246" s="27" t="str">
        <f aca="false">IF(C246="","",E246*F246)</f>
        <v/>
      </c>
      <c r="H246" s="55" t="n">
        <f aca="false">IFERROR(VLOOKUP(C246,المخزن!$B$2:$H$201,7,FALSE()),0)</f>
        <v>0</v>
      </c>
      <c r="I246" s="27" t="str">
        <f aca="false">IF(C246="","",E246*H246)</f>
        <v/>
      </c>
    </row>
    <row r="247" customFormat="false" ht="15" hidden="false" customHeight="true" outlineLevel="0" collapsed="false">
      <c r="A247" s="21" t="str">
        <f aca="false">IF(C247="","",ROW()-1)</f>
        <v/>
      </c>
      <c r="B247" s="53"/>
      <c r="C247" s="22"/>
      <c r="D247" s="54" t="str">
        <f aca="false">IFERROR(VLOOKUP(C247,المخزن!$B$2:$H$201,2,FALSE()),"")</f>
        <v/>
      </c>
      <c r="E247" s="24"/>
      <c r="F247" s="26"/>
      <c r="G247" s="27" t="str">
        <f aca="false">IF(C247="","",E247*F247)</f>
        <v/>
      </c>
      <c r="H247" s="55" t="n">
        <f aca="false">IFERROR(VLOOKUP(C247,المخزن!$B$2:$H$201,7,FALSE()),0)</f>
        <v>0</v>
      </c>
      <c r="I247" s="27" t="str">
        <f aca="false">IF(C247="","",E247*H247)</f>
        <v/>
      </c>
    </row>
    <row r="248" customFormat="false" ht="15" hidden="false" customHeight="true" outlineLevel="0" collapsed="false">
      <c r="A248" s="21" t="str">
        <f aca="false">IF(C248="","",ROW()-1)</f>
        <v/>
      </c>
      <c r="B248" s="53"/>
      <c r="C248" s="22"/>
      <c r="D248" s="54" t="str">
        <f aca="false">IFERROR(VLOOKUP(C248,المخزن!$B$2:$H$201,2,FALSE()),"")</f>
        <v/>
      </c>
      <c r="E248" s="24"/>
      <c r="F248" s="26"/>
      <c r="G248" s="27" t="str">
        <f aca="false">IF(C248="","",E248*F248)</f>
        <v/>
      </c>
      <c r="H248" s="55" t="n">
        <f aca="false">IFERROR(VLOOKUP(C248,المخزن!$B$2:$H$201,7,FALSE()),0)</f>
        <v>0</v>
      </c>
      <c r="I248" s="27" t="str">
        <f aca="false">IF(C248="","",E248*H248)</f>
        <v/>
      </c>
    </row>
    <row r="249" customFormat="false" ht="15" hidden="false" customHeight="true" outlineLevel="0" collapsed="false">
      <c r="A249" s="21" t="str">
        <f aca="false">IF(C249="","",ROW()-1)</f>
        <v/>
      </c>
      <c r="B249" s="53"/>
      <c r="C249" s="22"/>
      <c r="D249" s="54" t="str">
        <f aca="false">IFERROR(VLOOKUP(C249,المخزن!$B$2:$H$201,2,FALSE()),"")</f>
        <v/>
      </c>
      <c r="E249" s="24"/>
      <c r="F249" s="26"/>
      <c r="G249" s="27" t="str">
        <f aca="false">IF(C249="","",E249*F249)</f>
        <v/>
      </c>
      <c r="H249" s="55" t="n">
        <f aca="false">IFERROR(VLOOKUP(C249,المخزن!$B$2:$H$201,7,FALSE()),0)</f>
        <v>0</v>
      </c>
      <c r="I249" s="27" t="str">
        <f aca="false">IF(C249="","",E249*H249)</f>
        <v/>
      </c>
    </row>
    <row r="250" customFormat="false" ht="15" hidden="false" customHeight="true" outlineLevel="0" collapsed="false">
      <c r="A250" s="21" t="str">
        <f aca="false">IF(C250="","",ROW()-1)</f>
        <v/>
      </c>
      <c r="B250" s="53"/>
      <c r="C250" s="22"/>
      <c r="D250" s="54" t="str">
        <f aca="false">IFERROR(VLOOKUP(C250,المخزن!$B$2:$H$201,2,FALSE()),"")</f>
        <v/>
      </c>
      <c r="E250" s="24"/>
      <c r="F250" s="26"/>
      <c r="G250" s="27" t="str">
        <f aca="false">IF(C250="","",E250*F250)</f>
        <v/>
      </c>
      <c r="H250" s="55" t="n">
        <f aca="false">IFERROR(VLOOKUP(C250,المخزن!$B$2:$H$201,7,FALSE()),0)</f>
        <v>0</v>
      </c>
      <c r="I250" s="27" t="str">
        <f aca="false">IF(C250="","",E250*H250)</f>
        <v/>
      </c>
    </row>
    <row r="251" customFormat="false" ht="15" hidden="false" customHeight="true" outlineLevel="0" collapsed="false">
      <c r="A251" s="21" t="str">
        <f aca="false">IF(C251="","",ROW()-1)</f>
        <v/>
      </c>
      <c r="B251" s="53"/>
      <c r="C251" s="22"/>
      <c r="D251" s="54" t="str">
        <f aca="false">IFERROR(VLOOKUP(C251,المخزن!$B$2:$H$201,2,FALSE()),"")</f>
        <v/>
      </c>
      <c r="E251" s="24"/>
      <c r="F251" s="26"/>
      <c r="G251" s="27" t="str">
        <f aca="false">IF(C251="","",E251*F251)</f>
        <v/>
      </c>
      <c r="H251" s="55" t="n">
        <f aca="false">IFERROR(VLOOKUP(C251,المخزن!$B$2:$H$201,7,FALSE()),0)</f>
        <v>0</v>
      </c>
      <c r="I251" s="27" t="str">
        <f aca="false">IF(C251="","",E251*H251)</f>
        <v/>
      </c>
    </row>
    <row r="252" customFormat="false" ht="15" hidden="false" customHeight="true" outlineLevel="0" collapsed="false">
      <c r="A252" s="21" t="str">
        <f aca="false">IF(C252="","",ROW()-1)</f>
        <v/>
      </c>
      <c r="B252" s="53"/>
      <c r="C252" s="22"/>
      <c r="D252" s="54" t="str">
        <f aca="false">IFERROR(VLOOKUP(C252,المخزن!$B$2:$H$201,2,FALSE()),"")</f>
        <v/>
      </c>
      <c r="E252" s="24"/>
      <c r="F252" s="26"/>
      <c r="G252" s="27" t="str">
        <f aca="false">IF(C252="","",E252*F252)</f>
        <v/>
      </c>
      <c r="H252" s="55" t="n">
        <f aca="false">IFERROR(VLOOKUP(C252,المخزن!$B$2:$H$201,7,FALSE()),0)</f>
        <v>0</v>
      </c>
      <c r="I252" s="27" t="str">
        <f aca="false">IF(C252="","",E252*H252)</f>
        <v/>
      </c>
    </row>
    <row r="253" customFormat="false" ht="15" hidden="false" customHeight="true" outlineLevel="0" collapsed="false">
      <c r="A253" s="21" t="str">
        <f aca="false">IF(C253="","",ROW()-1)</f>
        <v/>
      </c>
      <c r="B253" s="53"/>
      <c r="C253" s="22"/>
      <c r="D253" s="54" t="str">
        <f aca="false">IFERROR(VLOOKUP(C253,المخزن!$B$2:$H$201,2,FALSE()),"")</f>
        <v/>
      </c>
      <c r="E253" s="24"/>
      <c r="F253" s="26"/>
      <c r="G253" s="27" t="str">
        <f aca="false">IF(C253="","",E253*F253)</f>
        <v/>
      </c>
      <c r="H253" s="55" t="n">
        <f aca="false">IFERROR(VLOOKUP(C253,المخزن!$B$2:$H$201,7,FALSE()),0)</f>
        <v>0</v>
      </c>
      <c r="I253" s="27" t="str">
        <f aca="false">IF(C253="","",E253*H253)</f>
        <v/>
      </c>
    </row>
    <row r="254" customFormat="false" ht="15" hidden="false" customHeight="true" outlineLevel="0" collapsed="false">
      <c r="A254" s="21" t="str">
        <f aca="false">IF(C254="","",ROW()-1)</f>
        <v/>
      </c>
      <c r="B254" s="53"/>
      <c r="C254" s="22"/>
      <c r="D254" s="54" t="str">
        <f aca="false">IFERROR(VLOOKUP(C254,المخزن!$B$2:$H$201,2,FALSE()),"")</f>
        <v/>
      </c>
      <c r="E254" s="24"/>
      <c r="F254" s="26"/>
      <c r="G254" s="27" t="str">
        <f aca="false">IF(C254="","",E254*F254)</f>
        <v/>
      </c>
      <c r="H254" s="55" t="n">
        <f aca="false">IFERROR(VLOOKUP(C254,المخزن!$B$2:$H$201,7,FALSE()),0)</f>
        <v>0</v>
      </c>
      <c r="I254" s="27" t="str">
        <f aca="false">IF(C254="","",E254*H254)</f>
        <v/>
      </c>
    </row>
    <row r="255" customFormat="false" ht="15" hidden="false" customHeight="true" outlineLevel="0" collapsed="false">
      <c r="A255" s="21" t="str">
        <f aca="false">IF(C255="","",ROW()-1)</f>
        <v/>
      </c>
      <c r="B255" s="53"/>
      <c r="C255" s="22"/>
      <c r="D255" s="54" t="str">
        <f aca="false">IFERROR(VLOOKUP(C255,المخزن!$B$2:$H$201,2,FALSE()),"")</f>
        <v/>
      </c>
      <c r="E255" s="24"/>
      <c r="F255" s="26"/>
      <c r="G255" s="27" t="str">
        <f aca="false">IF(C255="","",E255*F255)</f>
        <v/>
      </c>
      <c r="H255" s="55" t="n">
        <f aca="false">IFERROR(VLOOKUP(C255,المخزن!$B$2:$H$201,7,FALSE()),0)</f>
        <v>0</v>
      </c>
      <c r="I255" s="27" t="str">
        <f aca="false">IF(C255="","",E255*H255)</f>
        <v/>
      </c>
    </row>
    <row r="256" customFormat="false" ht="15" hidden="false" customHeight="true" outlineLevel="0" collapsed="false">
      <c r="A256" s="21" t="str">
        <f aca="false">IF(C256="","",ROW()-1)</f>
        <v/>
      </c>
      <c r="B256" s="53"/>
      <c r="C256" s="22"/>
      <c r="D256" s="54" t="str">
        <f aca="false">IFERROR(VLOOKUP(C256,المخزن!$B$2:$H$201,2,FALSE()),"")</f>
        <v/>
      </c>
      <c r="E256" s="24"/>
      <c r="F256" s="26"/>
      <c r="G256" s="27" t="str">
        <f aca="false">IF(C256="","",E256*F256)</f>
        <v/>
      </c>
      <c r="H256" s="55" t="n">
        <f aca="false">IFERROR(VLOOKUP(C256,المخزن!$B$2:$H$201,7,FALSE()),0)</f>
        <v>0</v>
      </c>
      <c r="I256" s="27" t="str">
        <f aca="false">IF(C256="","",E256*H256)</f>
        <v/>
      </c>
    </row>
    <row r="257" customFormat="false" ht="15" hidden="false" customHeight="true" outlineLevel="0" collapsed="false">
      <c r="A257" s="21" t="str">
        <f aca="false">IF(C257="","",ROW()-1)</f>
        <v/>
      </c>
      <c r="B257" s="53"/>
      <c r="C257" s="22"/>
      <c r="D257" s="54" t="str">
        <f aca="false">IFERROR(VLOOKUP(C257,المخزن!$B$2:$H$201,2,FALSE()),"")</f>
        <v/>
      </c>
      <c r="E257" s="24"/>
      <c r="F257" s="26"/>
      <c r="G257" s="27" t="str">
        <f aca="false">IF(C257="","",E257*F257)</f>
        <v/>
      </c>
      <c r="H257" s="55" t="n">
        <f aca="false">IFERROR(VLOOKUP(C257,المخزن!$B$2:$H$201,7,FALSE()),0)</f>
        <v>0</v>
      </c>
      <c r="I257" s="27" t="str">
        <f aca="false">IF(C257="","",E257*H257)</f>
        <v/>
      </c>
    </row>
    <row r="258" customFormat="false" ht="15" hidden="false" customHeight="true" outlineLevel="0" collapsed="false">
      <c r="A258" s="21" t="str">
        <f aca="false">IF(C258="","",ROW()-1)</f>
        <v/>
      </c>
      <c r="B258" s="53"/>
      <c r="C258" s="22"/>
      <c r="D258" s="54" t="str">
        <f aca="false">IFERROR(VLOOKUP(C258,المخزن!$B$2:$H$201,2,FALSE()),"")</f>
        <v/>
      </c>
      <c r="E258" s="24"/>
      <c r="F258" s="26"/>
      <c r="G258" s="27" t="str">
        <f aca="false">IF(C258="","",E258*F258)</f>
        <v/>
      </c>
      <c r="H258" s="55" t="n">
        <f aca="false">IFERROR(VLOOKUP(C258,المخزن!$B$2:$H$201,7,FALSE()),0)</f>
        <v>0</v>
      </c>
      <c r="I258" s="27" t="str">
        <f aca="false">IF(C258="","",E258*H258)</f>
        <v/>
      </c>
    </row>
    <row r="259" customFormat="false" ht="15" hidden="false" customHeight="true" outlineLevel="0" collapsed="false">
      <c r="A259" s="21" t="str">
        <f aca="false">IF(C259="","",ROW()-1)</f>
        <v/>
      </c>
      <c r="B259" s="53"/>
      <c r="C259" s="22"/>
      <c r="D259" s="54" t="str">
        <f aca="false">IFERROR(VLOOKUP(C259,المخزن!$B$2:$H$201,2,FALSE()),"")</f>
        <v/>
      </c>
      <c r="E259" s="24"/>
      <c r="F259" s="26"/>
      <c r="G259" s="27" t="str">
        <f aca="false">IF(C259="","",E259*F259)</f>
        <v/>
      </c>
      <c r="H259" s="55" t="n">
        <f aca="false">IFERROR(VLOOKUP(C259,المخزن!$B$2:$H$201,7,FALSE()),0)</f>
        <v>0</v>
      </c>
      <c r="I259" s="27" t="str">
        <f aca="false">IF(C259="","",E259*H259)</f>
        <v/>
      </c>
    </row>
    <row r="260" customFormat="false" ht="15" hidden="false" customHeight="true" outlineLevel="0" collapsed="false">
      <c r="A260" s="21" t="str">
        <f aca="false">IF(C260="","",ROW()-1)</f>
        <v/>
      </c>
      <c r="B260" s="53"/>
      <c r="C260" s="22"/>
      <c r="D260" s="54" t="str">
        <f aca="false">IFERROR(VLOOKUP(C260,المخزن!$B$2:$H$201,2,FALSE()),"")</f>
        <v/>
      </c>
      <c r="E260" s="24"/>
      <c r="F260" s="26"/>
      <c r="G260" s="27" t="str">
        <f aca="false">IF(C260="","",E260*F260)</f>
        <v/>
      </c>
      <c r="H260" s="55" t="n">
        <f aca="false">IFERROR(VLOOKUP(C260,المخزن!$B$2:$H$201,7,FALSE()),0)</f>
        <v>0</v>
      </c>
      <c r="I260" s="27" t="str">
        <f aca="false">IF(C260="","",E260*H260)</f>
        <v/>
      </c>
    </row>
    <row r="261" customFormat="false" ht="15" hidden="false" customHeight="true" outlineLevel="0" collapsed="false">
      <c r="A261" s="21" t="str">
        <f aca="false">IF(C261="","",ROW()-1)</f>
        <v/>
      </c>
      <c r="B261" s="53"/>
      <c r="C261" s="22"/>
      <c r="D261" s="54" t="str">
        <f aca="false">IFERROR(VLOOKUP(C261,المخزن!$B$2:$H$201,2,FALSE()),"")</f>
        <v/>
      </c>
      <c r="E261" s="24"/>
      <c r="F261" s="26"/>
      <c r="G261" s="27" t="str">
        <f aca="false">IF(C261="","",E261*F261)</f>
        <v/>
      </c>
      <c r="H261" s="55" t="n">
        <f aca="false">IFERROR(VLOOKUP(C261,المخزن!$B$2:$H$201,7,FALSE()),0)</f>
        <v>0</v>
      </c>
      <c r="I261" s="27" t="str">
        <f aca="false">IF(C261="","",E261*H261)</f>
        <v/>
      </c>
    </row>
    <row r="262" customFormat="false" ht="15" hidden="false" customHeight="true" outlineLevel="0" collapsed="false">
      <c r="A262" s="21" t="str">
        <f aca="false">IF(C262="","",ROW()-1)</f>
        <v/>
      </c>
      <c r="B262" s="53"/>
      <c r="C262" s="22"/>
      <c r="D262" s="54" t="str">
        <f aca="false">IFERROR(VLOOKUP(C262,المخزن!$B$2:$H$201,2,FALSE()),"")</f>
        <v/>
      </c>
      <c r="E262" s="24"/>
      <c r="F262" s="26"/>
      <c r="G262" s="27" t="str">
        <f aca="false">IF(C262="","",E262*F262)</f>
        <v/>
      </c>
      <c r="H262" s="55" t="n">
        <f aca="false">IFERROR(VLOOKUP(C262,المخزن!$B$2:$H$201,7,FALSE()),0)</f>
        <v>0</v>
      </c>
      <c r="I262" s="27" t="str">
        <f aca="false">IF(C262="","",E262*H262)</f>
        <v/>
      </c>
    </row>
    <row r="263" customFormat="false" ht="15" hidden="false" customHeight="true" outlineLevel="0" collapsed="false">
      <c r="A263" s="21" t="str">
        <f aca="false">IF(C263="","",ROW()-1)</f>
        <v/>
      </c>
      <c r="B263" s="53"/>
      <c r="C263" s="22"/>
      <c r="D263" s="54" t="str">
        <f aca="false">IFERROR(VLOOKUP(C263,المخزن!$B$2:$H$201,2,FALSE()),"")</f>
        <v/>
      </c>
      <c r="E263" s="24"/>
      <c r="F263" s="26"/>
      <c r="G263" s="27" t="str">
        <f aca="false">IF(C263="","",E263*F263)</f>
        <v/>
      </c>
      <c r="H263" s="55" t="n">
        <f aca="false">IFERROR(VLOOKUP(C263,المخزن!$B$2:$H$201,7,FALSE()),0)</f>
        <v>0</v>
      </c>
      <c r="I263" s="27" t="str">
        <f aca="false">IF(C263="","",E263*H263)</f>
        <v/>
      </c>
    </row>
    <row r="264" customFormat="false" ht="15" hidden="false" customHeight="true" outlineLevel="0" collapsed="false">
      <c r="A264" s="21" t="str">
        <f aca="false">IF(C264="","",ROW()-1)</f>
        <v/>
      </c>
      <c r="B264" s="53"/>
      <c r="C264" s="22"/>
      <c r="D264" s="54" t="str">
        <f aca="false">IFERROR(VLOOKUP(C264,المخزن!$B$2:$H$201,2,FALSE()),"")</f>
        <v/>
      </c>
      <c r="E264" s="24"/>
      <c r="F264" s="26"/>
      <c r="G264" s="27" t="str">
        <f aca="false">IF(C264="","",E264*F264)</f>
        <v/>
      </c>
      <c r="H264" s="55" t="n">
        <f aca="false">IFERROR(VLOOKUP(C264,المخزن!$B$2:$H$201,7,FALSE()),0)</f>
        <v>0</v>
      </c>
      <c r="I264" s="27" t="str">
        <f aca="false">IF(C264="","",E264*H264)</f>
        <v/>
      </c>
    </row>
    <row r="265" customFormat="false" ht="15" hidden="false" customHeight="true" outlineLevel="0" collapsed="false">
      <c r="A265" s="21" t="str">
        <f aca="false">IF(C265="","",ROW()-1)</f>
        <v/>
      </c>
      <c r="B265" s="53"/>
      <c r="C265" s="22"/>
      <c r="D265" s="54" t="str">
        <f aca="false">IFERROR(VLOOKUP(C265,المخزن!$B$2:$H$201,2,FALSE()),"")</f>
        <v/>
      </c>
      <c r="E265" s="24"/>
      <c r="F265" s="26"/>
      <c r="G265" s="27" t="str">
        <f aca="false">IF(C265="","",E265*F265)</f>
        <v/>
      </c>
      <c r="H265" s="55" t="n">
        <f aca="false">IFERROR(VLOOKUP(C265,المخزن!$B$2:$H$201,7,FALSE()),0)</f>
        <v>0</v>
      </c>
      <c r="I265" s="27" t="str">
        <f aca="false">IF(C265="","",E265*H265)</f>
        <v/>
      </c>
    </row>
    <row r="266" customFormat="false" ht="15" hidden="false" customHeight="true" outlineLevel="0" collapsed="false">
      <c r="A266" s="21" t="str">
        <f aca="false">IF(C266="","",ROW()-1)</f>
        <v/>
      </c>
      <c r="B266" s="53"/>
      <c r="C266" s="22"/>
      <c r="D266" s="54" t="str">
        <f aca="false">IFERROR(VLOOKUP(C266,المخزن!$B$2:$H$201,2,FALSE()),"")</f>
        <v/>
      </c>
      <c r="E266" s="24"/>
      <c r="F266" s="26"/>
      <c r="G266" s="27" t="str">
        <f aca="false">IF(C266="","",E266*F266)</f>
        <v/>
      </c>
      <c r="H266" s="55" t="n">
        <f aca="false">IFERROR(VLOOKUP(C266,المخزن!$B$2:$H$201,7,FALSE()),0)</f>
        <v>0</v>
      </c>
      <c r="I266" s="27" t="str">
        <f aca="false">IF(C266="","",E266*H266)</f>
        <v/>
      </c>
    </row>
    <row r="267" customFormat="false" ht="15" hidden="false" customHeight="true" outlineLevel="0" collapsed="false">
      <c r="A267" s="21" t="str">
        <f aca="false">IF(C267="","",ROW()-1)</f>
        <v/>
      </c>
      <c r="B267" s="53"/>
      <c r="C267" s="22"/>
      <c r="D267" s="54" t="str">
        <f aca="false">IFERROR(VLOOKUP(C267,المخزن!$B$2:$H$201,2,FALSE()),"")</f>
        <v/>
      </c>
      <c r="E267" s="24"/>
      <c r="F267" s="26"/>
      <c r="G267" s="27" t="str">
        <f aca="false">IF(C267="","",E267*F267)</f>
        <v/>
      </c>
      <c r="H267" s="55" t="n">
        <f aca="false">IFERROR(VLOOKUP(C267,المخزن!$B$2:$H$201,7,FALSE()),0)</f>
        <v>0</v>
      </c>
      <c r="I267" s="27" t="str">
        <f aca="false">IF(C267="","",E267*H267)</f>
        <v/>
      </c>
    </row>
    <row r="268" customFormat="false" ht="15" hidden="false" customHeight="true" outlineLevel="0" collapsed="false">
      <c r="A268" s="21" t="str">
        <f aca="false">IF(C268="","",ROW()-1)</f>
        <v/>
      </c>
      <c r="B268" s="53"/>
      <c r="C268" s="22"/>
      <c r="D268" s="54" t="str">
        <f aca="false">IFERROR(VLOOKUP(C268,المخزن!$B$2:$H$201,2,FALSE()),"")</f>
        <v/>
      </c>
      <c r="E268" s="24"/>
      <c r="F268" s="26"/>
      <c r="G268" s="27" t="str">
        <f aca="false">IF(C268="","",E268*F268)</f>
        <v/>
      </c>
      <c r="H268" s="55" t="n">
        <f aca="false">IFERROR(VLOOKUP(C268,المخزن!$B$2:$H$201,7,FALSE()),0)</f>
        <v>0</v>
      </c>
      <c r="I268" s="27" t="str">
        <f aca="false">IF(C268="","",E268*H268)</f>
        <v/>
      </c>
    </row>
    <row r="269" customFormat="false" ht="15" hidden="false" customHeight="true" outlineLevel="0" collapsed="false">
      <c r="A269" s="21" t="str">
        <f aca="false">IF(C269="","",ROW()-1)</f>
        <v/>
      </c>
      <c r="B269" s="53"/>
      <c r="C269" s="22"/>
      <c r="D269" s="54" t="str">
        <f aca="false">IFERROR(VLOOKUP(C269,المخزن!$B$2:$H$201,2,FALSE()),"")</f>
        <v/>
      </c>
      <c r="E269" s="24"/>
      <c r="F269" s="26"/>
      <c r="G269" s="27" t="str">
        <f aca="false">IF(C269="","",E269*F269)</f>
        <v/>
      </c>
      <c r="H269" s="55" t="n">
        <f aca="false">IFERROR(VLOOKUP(C269,المخزن!$B$2:$H$201,7,FALSE()),0)</f>
        <v>0</v>
      </c>
      <c r="I269" s="27" t="str">
        <f aca="false">IF(C269="","",E269*H269)</f>
        <v/>
      </c>
    </row>
    <row r="270" customFormat="false" ht="15" hidden="false" customHeight="true" outlineLevel="0" collapsed="false">
      <c r="A270" s="21" t="str">
        <f aca="false">IF(C270="","",ROW()-1)</f>
        <v/>
      </c>
      <c r="B270" s="53"/>
      <c r="C270" s="22"/>
      <c r="D270" s="54" t="str">
        <f aca="false">IFERROR(VLOOKUP(C270,المخزن!$B$2:$H$201,2,FALSE()),"")</f>
        <v/>
      </c>
      <c r="E270" s="24"/>
      <c r="F270" s="26"/>
      <c r="G270" s="27" t="str">
        <f aca="false">IF(C270="","",E270*F270)</f>
        <v/>
      </c>
      <c r="H270" s="55" t="n">
        <f aca="false">IFERROR(VLOOKUP(C270,المخزن!$B$2:$H$201,7,FALSE()),0)</f>
        <v>0</v>
      </c>
      <c r="I270" s="27" t="str">
        <f aca="false">IF(C270="","",E270*H270)</f>
        <v/>
      </c>
    </row>
    <row r="271" customFormat="false" ht="15" hidden="false" customHeight="true" outlineLevel="0" collapsed="false">
      <c r="A271" s="21" t="str">
        <f aca="false">IF(C271="","",ROW()-1)</f>
        <v/>
      </c>
      <c r="B271" s="53"/>
      <c r="C271" s="22"/>
      <c r="D271" s="54" t="str">
        <f aca="false">IFERROR(VLOOKUP(C271,المخزن!$B$2:$H$201,2,FALSE()),"")</f>
        <v/>
      </c>
      <c r="E271" s="24"/>
      <c r="F271" s="26"/>
      <c r="G271" s="27" t="str">
        <f aca="false">IF(C271="","",E271*F271)</f>
        <v/>
      </c>
      <c r="H271" s="55" t="n">
        <f aca="false">IFERROR(VLOOKUP(C271,المخزن!$B$2:$H$201,7,FALSE()),0)</f>
        <v>0</v>
      </c>
      <c r="I271" s="27" t="str">
        <f aca="false">IF(C271="","",E271*H271)</f>
        <v/>
      </c>
    </row>
    <row r="272" customFormat="false" ht="15" hidden="false" customHeight="true" outlineLevel="0" collapsed="false">
      <c r="A272" s="21" t="str">
        <f aca="false">IF(C272="","",ROW()-1)</f>
        <v/>
      </c>
      <c r="B272" s="53"/>
      <c r="C272" s="22"/>
      <c r="D272" s="54" t="str">
        <f aca="false">IFERROR(VLOOKUP(C272,المخزن!$B$2:$H$201,2,FALSE()),"")</f>
        <v/>
      </c>
      <c r="E272" s="24"/>
      <c r="F272" s="26"/>
      <c r="G272" s="27" t="str">
        <f aca="false">IF(C272="","",E272*F272)</f>
        <v/>
      </c>
      <c r="H272" s="55" t="n">
        <f aca="false">IFERROR(VLOOKUP(C272,المخزن!$B$2:$H$201,7,FALSE()),0)</f>
        <v>0</v>
      </c>
      <c r="I272" s="27" t="str">
        <f aca="false">IF(C272="","",E272*H272)</f>
        <v/>
      </c>
    </row>
    <row r="273" customFormat="false" ht="15" hidden="false" customHeight="true" outlineLevel="0" collapsed="false">
      <c r="A273" s="21" t="str">
        <f aca="false">IF(C273="","",ROW()-1)</f>
        <v/>
      </c>
      <c r="B273" s="53"/>
      <c r="C273" s="22"/>
      <c r="D273" s="54" t="str">
        <f aca="false">IFERROR(VLOOKUP(C273,المخزن!$B$2:$H$201,2,FALSE()),"")</f>
        <v/>
      </c>
      <c r="E273" s="24"/>
      <c r="F273" s="26"/>
      <c r="G273" s="27" t="str">
        <f aca="false">IF(C273="","",E273*F273)</f>
        <v/>
      </c>
      <c r="H273" s="55" t="n">
        <f aca="false">IFERROR(VLOOKUP(C273,المخزن!$B$2:$H$201,7,FALSE()),0)</f>
        <v>0</v>
      </c>
      <c r="I273" s="27" t="str">
        <f aca="false">IF(C273="","",E273*H273)</f>
        <v/>
      </c>
    </row>
    <row r="274" customFormat="false" ht="15" hidden="false" customHeight="true" outlineLevel="0" collapsed="false">
      <c r="A274" s="21" t="str">
        <f aca="false">IF(C274="","",ROW()-1)</f>
        <v/>
      </c>
      <c r="B274" s="53"/>
      <c r="C274" s="22"/>
      <c r="D274" s="54" t="str">
        <f aca="false">IFERROR(VLOOKUP(C274,المخزن!$B$2:$H$201,2,FALSE()),"")</f>
        <v/>
      </c>
      <c r="E274" s="24"/>
      <c r="F274" s="26"/>
      <c r="G274" s="27" t="str">
        <f aca="false">IF(C274="","",E274*F274)</f>
        <v/>
      </c>
      <c r="H274" s="55" t="n">
        <f aca="false">IFERROR(VLOOKUP(C274,المخزن!$B$2:$H$201,7,FALSE()),0)</f>
        <v>0</v>
      </c>
      <c r="I274" s="27" t="str">
        <f aca="false">IF(C274="","",E274*H274)</f>
        <v/>
      </c>
    </row>
    <row r="275" customFormat="false" ht="15" hidden="false" customHeight="true" outlineLevel="0" collapsed="false">
      <c r="A275" s="21" t="str">
        <f aca="false">IF(C275="","",ROW()-1)</f>
        <v/>
      </c>
      <c r="B275" s="53"/>
      <c r="C275" s="22"/>
      <c r="D275" s="54" t="str">
        <f aca="false">IFERROR(VLOOKUP(C275,المخزن!$B$2:$H$201,2,FALSE()),"")</f>
        <v/>
      </c>
      <c r="E275" s="24"/>
      <c r="F275" s="26"/>
      <c r="G275" s="27" t="str">
        <f aca="false">IF(C275="","",E275*F275)</f>
        <v/>
      </c>
      <c r="H275" s="55" t="n">
        <f aca="false">IFERROR(VLOOKUP(C275,المخزن!$B$2:$H$201,7,FALSE()),0)</f>
        <v>0</v>
      </c>
      <c r="I275" s="27" t="str">
        <f aca="false">IF(C275="","",E275*H275)</f>
        <v/>
      </c>
    </row>
    <row r="276" customFormat="false" ht="15" hidden="false" customHeight="true" outlineLevel="0" collapsed="false">
      <c r="A276" s="21" t="str">
        <f aca="false">IF(C276="","",ROW()-1)</f>
        <v/>
      </c>
      <c r="B276" s="53"/>
      <c r="C276" s="22"/>
      <c r="D276" s="54" t="str">
        <f aca="false">IFERROR(VLOOKUP(C276,المخزن!$B$2:$H$201,2,FALSE()),"")</f>
        <v/>
      </c>
      <c r="E276" s="24"/>
      <c r="F276" s="26"/>
      <c r="G276" s="27" t="str">
        <f aca="false">IF(C276="","",E276*F276)</f>
        <v/>
      </c>
      <c r="H276" s="55" t="n">
        <f aca="false">IFERROR(VLOOKUP(C276,المخزن!$B$2:$H$201,7,FALSE()),0)</f>
        <v>0</v>
      </c>
      <c r="I276" s="27" t="str">
        <f aca="false">IF(C276="","",E276*H276)</f>
        <v/>
      </c>
    </row>
    <row r="277" customFormat="false" ht="15" hidden="false" customHeight="true" outlineLevel="0" collapsed="false">
      <c r="A277" s="21" t="str">
        <f aca="false">IF(C277="","",ROW()-1)</f>
        <v/>
      </c>
      <c r="B277" s="53"/>
      <c r="C277" s="22"/>
      <c r="D277" s="54" t="str">
        <f aca="false">IFERROR(VLOOKUP(C277,المخزن!$B$2:$H$201,2,FALSE()),"")</f>
        <v/>
      </c>
      <c r="E277" s="24"/>
      <c r="F277" s="26"/>
      <c r="G277" s="27" t="str">
        <f aca="false">IF(C277="","",E277*F277)</f>
        <v/>
      </c>
      <c r="H277" s="55" t="n">
        <f aca="false">IFERROR(VLOOKUP(C277,المخزن!$B$2:$H$201,7,FALSE()),0)</f>
        <v>0</v>
      </c>
      <c r="I277" s="27" t="str">
        <f aca="false">IF(C277="","",E277*H277)</f>
        <v/>
      </c>
    </row>
    <row r="278" customFormat="false" ht="15" hidden="false" customHeight="true" outlineLevel="0" collapsed="false">
      <c r="A278" s="21" t="str">
        <f aca="false">IF(C278="","",ROW()-1)</f>
        <v/>
      </c>
      <c r="B278" s="53"/>
      <c r="C278" s="22"/>
      <c r="D278" s="54" t="str">
        <f aca="false">IFERROR(VLOOKUP(C278,المخزن!$B$2:$H$201,2,FALSE()),"")</f>
        <v/>
      </c>
      <c r="E278" s="24"/>
      <c r="F278" s="26"/>
      <c r="G278" s="27" t="str">
        <f aca="false">IF(C278="","",E278*F278)</f>
        <v/>
      </c>
      <c r="H278" s="55" t="n">
        <f aca="false">IFERROR(VLOOKUP(C278,المخزن!$B$2:$H$201,7,FALSE()),0)</f>
        <v>0</v>
      </c>
      <c r="I278" s="27" t="str">
        <f aca="false">IF(C278="","",E278*H278)</f>
        <v/>
      </c>
    </row>
    <row r="279" customFormat="false" ht="15" hidden="false" customHeight="true" outlineLevel="0" collapsed="false">
      <c r="A279" s="21" t="str">
        <f aca="false">IF(C279="","",ROW()-1)</f>
        <v/>
      </c>
      <c r="B279" s="53"/>
      <c r="C279" s="22"/>
      <c r="D279" s="54" t="str">
        <f aca="false">IFERROR(VLOOKUP(C279,المخزن!$B$2:$H$201,2,FALSE()),"")</f>
        <v/>
      </c>
      <c r="E279" s="24"/>
      <c r="F279" s="26"/>
      <c r="G279" s="27" t="str">
        <f aca="false">IF(C279="","",E279*F279)</f>
        <v/>
      </c>
      <c r="H279" s="55" t="n">
        <f aca="false">IFERROR(VLOOKUP(C279,المخزن!$B$2:$H$201,7,FALSE()),0)</f>
        <v>0</v>
      </c>
      <c r="I279" s="27" t="str">
        <f aca="false">IF(C279="","",E279*H279)</f>
        <v/>
      </c>
    </row>
    <row r="280" customFormat="false" ht="15" hidden="false" customHeight="true" outlineLevel="0" collapsed="false">
      <c r="A280" s="21" t="str">
        <f aca="false">IF(C280="","",ROW()-1)</f>
        <v/>
      </c>
      <c r="B280" s="53"/>
      <c r="C280" s="22"/>
      <c r="D280" s="54" t="str">
        <f aca="false">IFERROR(VLOOKUP(C280,المخزن!$B$2:$H$201,2,FALSE()),"")</f>
        <v/>
      </c>
      <c r="E280" s="24"/>
      <c r="F280" s="26"/>
      <c r="G280" s="27" t="str">
        <f aca="false">IF(C280="","",E280*F280)</f>
        <v/>
      </c>
      <c r="H280" s="55" t="n">
        <f aca="false">IFERROR(VLOOKUP(C280,المخزن!$B$2:$H$201,7,FALSE()),0)</f>
        <v>0</v>
      </c>
      <c r="I280" s="27" t="str">
        <f aca="false">IF(C280="","",E280*H280)</f>
        <v/>
      </c>
    </row>
    <row r="281" customFormat="false" ht="15" hidden="false" customHeight="true" outlineLevel="0" collapsed="false">
      <c r="A281" s="21" t="str">
        <f aca="false">IF(C281="","",ROW()-1)</f>
        <v/>
      </c>
      <c r="B281" s="53"/>
      <c r="C281" s="22"/>
      <c r="D281" s="54" t="str">
        <f aca="false">IFERROR(VLOOKUP(C281,المخزن!$B$2:$H$201,2,FALSE()),"")</f>
        <v/>
      </c>
      <c r="E281" s="24"/>
      <c r="F281" s="26"/>
      <c r="G281" s="27" t="str">
        <f aca="false">IF(C281="","",E281*F281)</f>
        <v/>
      </c>
      <c r="H281" s="55" t="n">
        <f aca="false">IFERROR(VLOOKUP(C281,المخزن!$B$2:$H$201,7,FALSE()),0)</f>
        <v>0</v>
      </c>
      <c r="I281" s="27" t="str">
        <f aca="false">IF(C281="","",E281*H281)</f>
        <v/>
      </c>
    </row>
    <row r="282" customFormat="false" ht="15" hidden="false" customHeight="true" outlineLevel="0" collapsed="false">
      <c r="A282" s="21" t="str">
        <f aca="false">IF(C282="","",ROW()-1)</f>
        <v/>
      </c>
      <c r="B282" s="53"/>
      <c r="C282" s="22"/>
      <c r="D282" s="54" t="str">
        <f aca="false">IFERROR(VLOOKUP(C282,المخزن!$B$2:$H$201,2,FALSE()),"")</f>
        <v/>
      </c>
      <c r="E282" s="24"/>
      <c r="F282" s="26"/>
      <c r="G282" s="27" t="str">
        <f aca="false">IF(C282="","",E282*F282)</f>
        <v/>
      </c>
      <c r="H282" s="55" t="n">
        <f aca="false">IFERROR(VLOOKUP(C282,المخزن!$B$2:$H$201,7,FALSE()),0)</f>
        <v>0</v>
      </c>
      <c r="I282" s="27" t="str">
        <f aca="false">IF(C282="","",E282*H282)</f>
        <v/>
      </c>
    </row>
    <row r="283" customFormat="false" ht="15" hidden="false" customHeight="true" outlineLevel="0" collapsed="false">
      <c r="A283" s="21" t="str">
        <f aca="false">IF(C283="","",ROW()-1)</f>
        <v/>
      </c>
      <c r="B283" s="53"/>
      <c r="C283" s="22"/>
      <c r="D283" s="54" t="str">
        <f aca="false">IFERROR(VLOOKUP(C283,المخزن!$B$2:$H$201,2,FALSE()),"")</f>
        <v/>
      </c>
      <c r="E283" s="24"/>
      <c r="F283" s="26"/>
      <c r="G283" s="27" t="str">
        <f aca="false">IF(C283="","",E283*F283)</f>
        <v/>
      </c>
      <c r="H283" s="55" t="n">
        <f aca="false">IFERROR(VLOOKUP(C283,المخزن!$B$2:$H$201,7,FALSE()),0)</f>
        <v>0</v>
      </c>
      <c r="I283" s="27" t="str">
        <f aca="false">IF(C283="","",E283*H283)</f>
        <v/>
      </c>
    </row>
    <row r="284" customFormat="false" ht="15" hidden="false" customHeight="true" outlineLevel="0" collapsed="false">
      <c r="A284" s="21" t="str">
        <f aca="false">IF(C284="","",ROW()-1)</f>
        <v/>
      </c>
      <c r="B284" s="53"/>
      <c r="C284" s="22"/>
      <c r="D284" s="54" t="str">
        <f aca="false">IFERROR(VLOOKUP(C284,المخزن!$B$2:$H$201,2,FALSE()),"")</f>
        <v/>
      </c>
      <c r="E284" s="24"/>
      <c r="F284" s="26"/>
      <c r="G284" s="27" t="str">
        <f aca="false">IF(C284="","",E284*F284)</f>
        <v/>
      </c>
      <c r="H284" s="55" t="n">
        <f aca="false">IFERROR(VLOOKUP(C284,المخزن!$B$2:$H$201,7,FALSE()),0)</f>
        <v>0</v>
      </c>
      <c r="I284" s="27" t="str">
        <f aca="false">IF(C284="","",E284*H284)</f>
        <v/>
      </c>
    </row>
    <row r="285" customFormat="false" ht="15" hidden="false" customHeight="true" outlineLevel="0" collapsed="false">
      <c r="A285" s="21" t="str">
        <f aca="false">IF(C285="","",ROW()-1)</f>
        <v/>
      </c>
      <c r="B285" s="53"/>
      <c r="C285" s="22"/>
      <c r="D285" s="54" t="str">
        <f aca="false">IFERROR(VLOOKUP(C285,المخزن!$B$2:$H$201,2,FALSE()),"")</f>
        <v/>
      </c>
      <c r="E285" s="24"/>
      <c r="F285" s="26"/>
      <c r="G285" s="27" t="str">
        <f aca="false">IF(C285="","",E285*F285)</f>
        <v/>
      </c>
      <c r="H285" s="55" t="n">
        <f aca="false">IFERROR(VLOOKUP(C285,المخزن!$B$2:$H$201,7,FALSE()),0)</f>
        <v>0</v>
      </c>
      <c r="I285" s="27" t="str">
        <f aca="false">IF(C285="","",E285*H285)</f>
        <v/>
      </c>
    </row>
    <row r="286" customFormat="false" ht="15" hidden="false" customHeight="true" outlineLevel="0" collapsed="false">
      <c r="A286" s="21" t="str">
        <f aca="false">IF(C286="","",ROW()-1)</f>
        <v/>
      </c>
      <c r="B286" s="53"/>
      <c r="C286" s="22"/>
      <c r="D286" s="54" t="str">
        <f aca="false">IFERROR(VLOOKUP(C286,المخزن!$B$2:$H$201,2,FALSE()),"")</f>
        <v/>
      </c>
      <c r="E286" s="24"/>
      <c r="F286" s="26"/>
      <c r="G286" s="27" t="str">
        <f aca="false">IF(C286="","",E286*F286)</f>
        <v/>
      </c>
      <c r="H286" s="55" t="n">
        <f aca="false">IFERROR(VLOOKUP(C286,المخزن!$B$2:$H$201,7,FALSE()),0)</f>
        <v>0</v>
      </c>
      <c r="I286" s="27" t="str">
        <f aca="false">IF(C286="","",E286*H286)</f>
        <v/>
      </c>
    </row>
    <row r="287" customFormat="false" ht="15" hidden="false" customHeight="true" outlineLevel="0" collapsed="false">
      <c r="A287" s="21" t="str">
        <f aca="false">IF(C287="","",ROW()-1)</f>
        <v/>
      </c>
      <c r="B287" s="53"/>
      <c r="C287" s="22"/>
      <c r="D287" s="54" t="str">
        <f aca="false">IFERROR(VLOOKUP(C287,المخزن!$B$2:$H$201,2,FALSE()),"")</f>
        <v/>
      </c>
      <c r="E287" s="24"/>
      <c r="F287" s="26"/>
      <c r="G287" s="27" t="str">
        <f aca="false">IF(C287="","",E287*F287)</f>
        <v/>
      </c>
      <c r="H287" s="55" t="n">
        <f aca="false">IFERROR(VLOOKUP(C287,المخزن!$B$2:$H$201,7,FALSE()),0)</f>
        <v>0</v>
      </c>
      <c r="I287" s="27" t="str">
        <f aca="false">IF(C287="","",E287*H287)</f>
        <v/>
      </c>
    </row>
    <row r="288" customFormat="false" ht="15" hidden="false" customHeight="true" outlineLevel="0" collapsed="false">
      <c r="A288" s="21" t="str">
        <f aca="false">IF(C288="","",ROW()-1)</f>
        <v/>
      </c>
      <c r="B288" s="53"/>
      <c r="C288" s="22"/>
      <c r="D288" s="54" t="str">
        <f aca="false">IFERROR(VLOOKUP(C288,المخزن!$B$2:$H$201,2,FALSE()),"")</f>
        <v/>
      </c>
      <c r="E288" s="24"/>
      <c r="F288" s="26"/>
      <c r="G288" s="27" t="str">
        <f aca="false">IF(C288="","",E288*F288)</f>
        <v/>
      </c>
      <c r="H288" s="55" t="n">
        <f aca="false">IFERROR(VLOOKUP(C288,المخزن!$B$2:$H$201,7,FALSE()),0)</f>
        <v>0</v>
      </c>
      <c r="I288" s="27" t="str">
        <f aca="false">IF(C288="","",E288*H288)</f>
        <v/>
      </c>
    </row>
    <row r="289" customFormat="false" ht="15" hidden="false" customHeight="true" outlineLevel="0" collapsed="false">
      <c r="A289" s="21" t="str">
        <f aca="false">IF(C289="","",ROW()-1)</f>
        <v/>
      </c>
      <c r="B289" s="53"/>
      <c r="C289" s="22"/>
      <c r="D289" s="54" t="str">
        <f aca="false">IFERROR(VLOOKUP(C289,المخزن!$B$2:$H$201,2,FALSE()),"")</f>
        <v/>
      </c>
      <c r="E289" s="24"/>
      <c r="F289" s="26"/>
      <c r="G289" s="27" t="str">
        <f aca="false">IF(C289="","",E289*F289)</f>
        <v/>
      </c>
      <c r="H289" s="55" t="n">
        <f aca="false">IFERROR(VLOOKUP(C289,المخزن!$B$2:$H$201,7,FALSE()),0)</f>
        <v>0</v>
      </c>
      <c r="I289" s="27" t="str">
        <f aca="false">IF(C289="","",E289*H289)</f>
        <v/>
      </c>
    </row>
    <row r="290" customFormat="false" ht="15" hidden="false" customHeight="true" outlineLevel="0" collapsed="false">
      <c r="A290" s="21" t="str">
        <f aca="false">IF(C290="","",ROW()-1)</f>
        <v/>
      </c>
      <c r="B290" s="53"/>
      <c r="C290" s="22"/>
      <c r="D290" s="54" t="str">
        <f aca="false">IFERROR(VLOOKUP(C290,المخزن!$B$2:$H$201,2,FALSE()),"")</f>
        <v/>
      </c>
      <c r="E290" s="24"/>
      <c r="F290" s="26"/>
      <c r="G290" s="27" t="str">
        <f aca="false">IF(C290="","",E290*F290)</f>
        <v/>
      </c>
      <c r="H290" s="55" t="n">
        <f aca="false">IFERROR(VLOOKUP(C290,المخزن!$B$2:$H$201,7,FALSE()),0)</f>
        <v>0</v>
      </c>
      <c r="I290" s="27" t="str">
        <f aca="false">IF(C290="","",E290*H290)</f>
        <v/>
      </c>
    </row>
    <row r="291" customFormat="false" ht="15" hidden="false" customHeight="true" outlineLevel="0" collapsed="false">
      <c r="A291" s="21" t="str">
        <f aca="false">IF(C291="","",ROW()-1)</f>
        <v/>
      </c>
      <c r="B291" s="53"/>
      <c r="C291" s="22"/>
      <c r="D291" s="54" t="str">
        <f aca="false">IFERROR(VLOOKUP(C291,المخزن!$B$2:$H$201,2,FALSE()),"")</f>
        <v/>
      </c>
      <c r="E291" s="24"/>
      <c r="F291" s="26"/>
      <c r="G291" s="27" t="str">
        <f aca="false">IF(C291="","",E291*F291)</f>
        <v/>
      </c>
      <c r="H291" s="55" t="n">
        <f aca="false">IFERROR(VLOOKUP(C291,المخزن!$B$2:$H$201,7,FALSE()),0)</f>
        <v>0</v>
      </c>
      <c r="I291" s="27" t="str">
        <f aca="false">IF(C291="","",E291*H291)</f>
        <v/>
      </c>
    </row>
    <row r="292" customFormat="false" ht="15" hidden="false" customHeight="true" outlineLevel="0" collapsed="false">
      <c r="A292" s="21" t="str">
        <f aca="false">IF(C292="","",ROW()-1)</f>
        <v/>
      </c>
      <c r="B292" s="53"/>
      <c r="C292" s="22"/>
      <c r="D292" s="54" t="str">
        <f aca="false">IFERROR(VLOOKUP(C292,المخزن!$B$2:$H$201,2,FALSE()),"")</f>
        <v/>
      </c>
      <c r="E292" s="24"/>
      <c r="F292" s="26"/>
      <c r="G292" s="27" t="str">
        <f aca="false">IF(C292="","",E292*F292)</f>
        <v/>
      </c>
      <c r="H292" s="55" t="n">
        <f aca="false">IFERROR(VLOOKUP(C292,المخزن!$B$2:$H$201,7,FALSE()),0)</f>
        <v>0</v>
      </c>
      <c r="I292" s="27" t="str">
        <f aca="false">IF(C292="","",E292*H292)</f>
        <v/>
      </c>
    </row>
    <row r="293" customFormat="false" ht="15" hidden="false" customHeight="true" outlineLevel="0" collapsed="false">
      <c r="A293" s="21" t="str">
        <f aca="false">IF(C293="","",ROW()-1)</f>
        <v/>
      </c>
      <c r="B293" s="53"/>
      <c r="C293" s="22"/>
      <c r="D293" s="54" t="str">
        <f aca="false">IFERROR(VLOOKUP(C293,المخزن!$B$2:$H$201,2,FALSE()),"")</f>
        <v/>
      </c>
      <c r="E293" s="24"/>
      <c r="F293" s="26"/>
      <c r="G293" s="27" t="str">
        <f aca="false">IF(C293="","",E293*F293)</f>
        <v/>
      </c>
      <c r="H293" s="55" t="n">
        <f aca="false">IFERROR(VLOOKUP(C293,المخزن!$B$2:$H$201,7,FALSE()),0)</f>
        <v>0</v>
      </c>
      <c r="I293" s="27" t="str">
        <f aca="false">IF(C293="","",E293*H293)</f>
        <v/>
      </c>
    </row>
    <row r="294" customFormat="false" ht="15" hidden="false" customHeight="true" outlineLevel="0" collapsed="false">
      <c r="A294" s="21" t="str">
        <f aca="false">IF(C294="","",ROW()-1)</f>
        <v/>
      </c>
      <c r="B294" s="53"/>
      <c r="C294" s="22"/>
      <c r="D294" s="54" t="str">
        <f aca="false">IFERROR(VLOOKUP(C294,المخزن!$B$2:$H$201,2,FALSE()),"")</f>
        <v/>
      </c>
      <c r="E294" s="24"/>
      <c r="F294" s="26"/>
      <c r="G294" s="27" t="str">
        <f aca="false">IF(C294="","",E294*F294)</f>
        <v/>
      </c>
      <c r="H294" s="55" t="n">
        <f aca="false">IFERROR(VLOOKUP(C294,المخزن!$B$2:$H$201,7,FALSE()),0)</f>
        <v>0</v>
      </c>
      <c r="I294" s="27" t="str">
        <f aca="false">IF(C294="","",E294*H294)</f>
        <v/>
      </c>
    </row>
    <row r="295" customFormat="false" ht="15" hidden="false" customHeight="true" outlineLevel="0" collapsed="false">
      <c r="A295" s="21" t="str">
        <f aca="false">IF(C295="","",ROW()-1)</f>
        <v/>
      </c>
      <c r="B295" s="53"/>
      <c r="C295" s="22"/>
      <c r="D295" s="54" t="str">
        <f aca="false">IFERROR(VLOOKUP(C295,المخزن!$B$2:$H$201,2,FALSE()),"")</f>
        <v/>
      </c>
      <c r="E295" s="24"/>
      <c r="F295" s="26"/>
      <c r="G295" s="27" t="str">
        <f aca="false">IF(C295="","",E295*F295)</f>
        <v/>
      </c>
      <c r="H295" s="55" t="n">
        <f aca="false">IFERROR(VLOOKUP(C295,المخزن!$B$2:$H$201,7,FALSE()),0)</f>
        <v>0</v>
      </c>
      <c r="I295" s="27" t="str">
        <f aca="false">IF(C295="","",E295*H295)</f>
        <v/>
      </c>
    </row>
    <row r="296" customFormat="false" ht="15" hidden="false" customHeight="true" outlineLevel="0" collapsed="false">
      <c r="A296" s="21" t="str">
        <f aca="false">IF(C296="","",ROW()-1)</f>
        <v/>
      </c>
      <c r="B296" s="53"/>
      <c r="C296" s="22"/>
      <c r="D296" s="54" t="str">
        <f aca="false">IFERROR(VLOOKUP(C296,المخزن!$B$2:$H$201,2,FALSE()),"")</f>
        <v/>
      </c>
      <c r="E296" s="24"/>
      <c r="F296" s="26"/>
      <c r="G296" s="27" t="str">
        <f aca="false">IF(C296="","",E296*F296)</f>
        <v/>
      </c>
      <c r="H296" s="55" t="n">
        <f aca="false">IFERROR(VLOOKUP(C296,المخزن!$B$2:$H$201,7,FALSE()),0)</f>
        <v>0</v>
      </c>
      <c r="I296" s="27" t="str">
        <f aca="false">IF(C296="","",E296*H296)</f>
        <v/>
      </c>
    </row>
    <row r="297" customFormat="false" ht="15" hidden="false" customHeight="true" outlineLevel="0" collapsed="false">
      <c r="A297" s="21" t="str">
        <f aca="false">IF(C297="","",ROW()-1)</f>
        <v/>
      </c>
      <c r="B297" s="53"/>
      <c r="C297" s="22"/>
      <c r="D297" s="54" t="str">
        <f aca="false">IFERROR(VLOOKUP(C297,المخزن!$B$2:$H$201,2,FALSE()),"")</f>
        <v/>
      </c>
      <c r="E297" s="24"/>
      <c r="F297" s="26"/>
      <c r="G297" s="27" t="str">
        <f aca="false">IF(C297="","",E297*F297)</f>
        <v/>
      </c>
      <c r="H297" s="55" t="n">
        <f aca="false">IFERROR(VLOOKUP(C297,المخزن!$B$2:$H$201,7,FALSE()),0)</f>
        <v>0</v>
      </c>
      <c r="I297" s="27" t="str">
        <f aca="false">IF(C297="","",E297*H297)</f>
        <v/>
      </c>
    </row>
    <row r="298" customFormat="false" ht="15" hidden="false" customHeight="true" outlineLevel="0" collapsed="false">
      <c r="A298" s="21" t="str">
        <f aca="false">IF(C298="","",ROW()-1)</f>
        <v/>
      </c>
      <c r="B298" s="53"/>
      <c r="C298" s="22"/>
      <c r="D298" s="54" t="str">
        <f aca="false">IFERROR(VLOOKUP(C298,المخزن!$B$2:$H$201,2,FALSE()),"")</f>
        <v/>
      </c>
      <c r="E298" s="24"/>
      <c r="F298" s="26"/>
      <c r="G298" s="27" t="str">
        <f aca="false">IF(C298="","",E298*F298)</f>
        <v/>
      </c>
      <c r="H298" s="55" t="n">
        <f aca="false">IFERROR(VLOOKUP(C298,المخزن!$B$2:$H$201,7,FALSE()),0)</f>
        <v>0</v>
      </c>
      <c r="I298" s="27" t="str">
        <f aca="false">IF(C298="","",E298*H298)</f>
        <v/>
      </c>
    </row>
    <row r="299" customFormat="false" ht="15" hidden="false" customHeight="true" outlineLevel="0" collapsed="false">
      <c r="A299" s="21" t="str">
        <f aca="false">IF(C299="","",ROW()-1)</f>
        <v/>
      </c>
      <c r="B299" s="53"/>
      <c r="C299" s="22"/>
      <c r="D299" s="54" t="str">
        <f aca="false">IFERROR(VLOOKUP(C299,المخزن!$B$2:$H$201,2,FALSE()),"")</f>
        <v/>
      </c>
      <c r="E299" s="24"/>
      <c r="F299" s="26"/>
      <c r="G299" s="27" t="str">
        <f aca="false">IF(C299="","",E299*F299)</f>
        <v/>
      </c>
      <c r="H299" s="55" t="n">
        <f aca="false">IFERROR(VLOOKUP(C299,المخزن!$B$2:$H$201,7,FALSE()),0)</f>
        <v>0</v>
      </c>
      <c r="I299" s="27" t="str">
        <f aca="false">IF(C299="","",E299*H299)</f>
        <v/>
      </c>
    </row>
    <row r="300" customFormat="false" ht="15" hidden="false" customHeight="true" outlineLevel="0" collapsed="false">
      <c r="A300" s="21" t="str">
        <f aca="false">IF(C300="","",ROW()-1)</f>
        <v/>
      </c>
      <c r="B300" s="53"/>
      <c r="C300" s="22"/>
      <c r="D300" s="54" t="str">
        <f aca="false">IFERROR(VLOOKUP(C300,المخزن!$B$2:$H$201,2,FALSE()),"")</f>
        <v/>
      </c>
      <c r="E300" s="24"/>
      <c r="F300" s="26"/>
      <c r="G300" s="27" t="str">
        <f aca="false">IF(C300="","",E300*F300)</f>
        <v/>
      </c>
      <c r="H300" s="55" t="n">
        <f aca="false">IFERROR(VLOOKUP(C300,المخزن!$B$2:$H$201,7,FALSE()),0)</f>
        <v>0</v>
      </c>
      <c r="I300" s="27" t="str">
        <f aca="false">IF(C300="","",E300*H300)</f>
        <v/>
      </c>
    </row>
    <row r="301" customFormat="false" ht="15" hidden="false" customHeight="true" outlineLevel="0" collapsed="false">
      <c r="A301" s="21" t="str">
        <f aca="false">IF(C301="","",ROW()-1)</f>
        <v/>
      </c>
      <c r="B301" s="53"/>
      <c r="C301" s="22"/>
      <c r="D301" s="54" t="str">
        <f aca="false">IFERROR(VLOOKUP(C301,المخزن!$B$2:$H$201,2,FALSE()),"")</f>
        <v/>
      </c>
      <c r="E301" s="24"/>
      <c r="F301" s="26"/>
      <c r="G301" s="27" t="str">
        <f aca="false">IF(C301="","",E301*F301)</f>
        <v/>
      </c>
      <c r="H301" s="55" t="n">
        <f aca="false">IFERROR(VLOOKUP(C301,المخزن!$B$2:$H$201,7,FALSE()),0)</f>
        <v>0</v>
      </c>
      <c r="I301" s="27" t="str">
        <f aca="false">IF(C301="","",E301*H301)</f>
        <v/>
      </c>
    </row>
    <row r="303" customFormat="false" ht="15" hidden="false" customHeight="true" outlineLevel="0" collapsed="false">
      <c r="A303" s="60"/>
      <c r="B303" s="60"/>
      <c r="C303" s="60" t="s">
        <v>109</v>
      </c>
      <c r="D303" s="60"/>
      <c r="E303" s="61" t="n">
        <f aca="false">SUM(E2:E301)</f>
        <v>0</v>
      </c>
      <c r="F303" s="60"/>
      <c r="G303" s="62" t="n">
        <f aca="false">SUM(G2:G301)</f>
        <v>0</v>
      </c>
      <c r="H303" s="60"/>
      <c r="I303" s="62" t="n">
        <f aca="false">SUM(I2:I301)</f>
        <v>0</v>
      </c>
    </row>
  </sheetData>
  <conditionalFormatting sqref="A2:I301">
    <cfRule type="expression" priority="2" aboveAverage="0" equalAverage="0" bottom="0" percent="0" rank="0" text="" dxfId="12">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7.75" hidden="false" customHeight="true" outlineLevel="0" collapsed="false">
      <c r="A1" s="63" t="s">
        <v>21</v>
      </c>
      <c r="B1" s="63" t="s">
        <v>121</v>
      </c>
      <c r="C1" s="63" t="s">
        <v>129</v>
      </c>
      <c r="D1" s="63" t="s">
        <v>130</v>
      </c>
    </row>
    <row r="2" customFormat="false" ht="15" hidden="false" customHeight="true" outlineLevel="0" collapsed="false">
      <c r="A2" s="21" t="str">
        <f aca="false">IF(C2="","",ROW()-1)</f>
        <v/>
      </c>
      <c r="B2" s="53"/>
      <c r="C2" s="22"/>
      <c r="D2" s="26"/>
    </row>
    <row r="3" customFormat="false" ht="15" hidden="false" customHeight="true" outlineLevel="0" collapsed="false">
      <c r="A3" s="21" t="str">
        <f aca="false">IF(C3="","",ROW()-1)</f>
        <v/>
      </c>
      <c r="B3" s="53"/>
      <c r="C3" s="22"/>
      <c r="D3" s="26"/>
    </row>
    <row r="4" customFormat="false" ht="15" hidden="false" customHeight="true" outlineLevel="0" collapsed="false">
      <c r="A4" s="21" t="str">
        <f aca="false">IF(C4="","",ROW()-1)</f>
        <v/>
      </c>
      <c r="B4" s="53"/>
      <c r="C4" s="22"/>
      <c r="D4" s="26"/>
    </row>
    <row r="5" customFormat="false" ht="15" hidden="false" customHeight="true" outlineLevel="0" collapsed="false">
      <c r="A5" s="21" t="str">
        <f aca="false">IF(C5="","",ROW()-1)</f>
        <v/>
      </c>
      <c r="B5" s="53"/>
      <c r="C5" s="22"/>
      <c r="D5" s="26"/>
    </row>
    <row r="6" customFormat="false" ht="15" hidden="false" customHeight="true" outlineLevel="0" collapsed="false">
      <c r="A6" s="21" t="str">
        <f aca="false">IF(C6="","",ROW()-1)</f>
        <v/>
      </c>
      <c r="B6" s="53"/>
      <c r="C6" s="22"/>
      <c r="D6" s="26"/>
    </row>
    <row r="7" customFormat="false" ht="15" hidden="false" customHeight="true" outlineLevel="0" collapsed="false">
      <c r="A7" s="21" t="str">
        <f aca="false">IF(C7="","",ROW()-1)</f>
        <v/>
      </c>
      <c r="B7" s="53"/>
      <c r="C7" s="22"/>
      <c r="D7" s="26"/>
    </row>
    <row r="8" customFormat="false" ht="15" hidden="false" customHeight="true" outlineLevel="0" collapsed="false">
      <c r="A8" s="21" t="str">
        <f aca="false">IF(C8="","",ROW()-1)</f>
        <v/>
      </c>
      <c r="B8" s="53"/>
      <c r="C8" s="22"/>
      <c r="D8" s="26"/>
    </row>
    <row r="9" customFormat="false" ht="15" hidden="false" customHeight="true" outlineLevel="0" collapsed="false">
      <c r="A9" s="21" t="str">
        <f aca="false">IF(C9="","",ROW()-1)</f>
        <v/>
      </c>
      <c r="B9" s="53"/>
      <c r="C9" s="22"/>
      <c r="D9" s="26"/>
    </row>
    <row r="10" customFormat="false" ht="15" hidden="false" customHeight="true" outlineLevel="0" collapsed="false">
      <c r="A10" s="21" t="str">
        <f aca="false">IF(C10="","",ROW()-1)</f>
        <v/>
      </c>
      <c r="B10" s="53"/>
      <c r="C10" s="22"/>
      <c r="D10" s="26"/>
    </row>
    <row r="11" customFormat="false" ht="15" hidden="false" customHeight="true" outlineLevel="0" collapsed="false">
      <c r="A11" s="21" t="str">
        <f aca="false">IF(C11="","",ROW()-1)</f>
        <v/>
      </c>
      <c r="B11" s="53"/>
      <c r="C11" s="22"/>
      <c r="D11" s="26"/>
    </row>
    <row r="12" customFormat="false" ht="15" hidden="false" customHeight="true" outlineLevel="0" collapsed="false">
      <c r="A12" s="21" t="str">
        <f aca="false">IF(C12="","",ROW()-1)</f>
        <v/>
      </c>
      <c r="B12" s="53"/>
      <c r="C12" s="22"/>
      <c r="D12" s="26"/>
    </row>
    <row r="13" customFormat="false" ht="15" hidden="false" customHeight="true" outlineLevel="0" collapsed="false">
      <c r="A13" s="21" t="str">
        <f aca="false">IF(C13="","",ROW()-1)</f>
        <v/>
      </c>
      <c r="B13" s="53"/>
      <c r="C13" s="22"/>
      <c r="D13" s="26"/>
    </row>
    <row r="14" customFormat="false" ht="15" hidden="false" customHeight="true" outlineLevel="0" collapsed="false">
      <c r="A14" s="21" t="str">
        <f aca="false">IF(C14="","",ROW()-1)</f>
        <v/>
      </c>
      <c r="B14" s="53"/>
      <c r="C14" s="22"/>
      <c r="D14" s="26"/>
    </row>
    <row r="15" customFormat="false" ht="15" hidden="false" customHeight="true" outlineLevel="0" collapsed="false">
      <c r="A15" s="21" t="str">
        <f aca="false">IF(C15="","",ROW()-1)</f>
        <v/>
      </c>
      <c r="B15" s="53"/>
      <c r="C15" s="22"/>
      <c r="D15" s="26"/>
    </row>
    <row r="16" customFormat="false" ht="15" hidden="false" customHeight="true" outlineLevel="0" collapsed="false">
      <c r="A16" s="21" t="str">
        <f aca="false">IF(C16="","",ROW()-1)</f>
        <v/>
      </c>
      <c r="B16" s="53"/>
      <c r="C16" s="22"/>
      <c r="D16" s="26"/>
    </row>
    <row r="17" customFormat="false" ht="15" hidden="false" customHeight="true" outlineLevel="0" collapsed="false">
      <c r="A17" s="21" t="str">
        <f aca="false">IF(C17="","",ROW()-1)</f>
        <v/>
      </c>
      <c r="B17" s="53"/>
      <c r="C17" s="22"/>
      <c r="D17" s="26"/>
    </row>
    <row r="18" customFormat="false" ht="15" hidden="false" customHeight="true" outlineLevel="0" collapsed="false">
      <c r="A18" s="21" t="str">
        <f aca="false">IF(C18="","",ROW()-1)</f>
        <v/>
      </c>
      <c r="B18" s="53"/>
      <c r="C18" s="22"/>
      <c r="D18" s="26"/>
    </row>
    <row r="19" customFormat="false" ht="15" hidden="false" customHeight="true" outlineLevel="0" collapsed="false">
      <c r="A19" s="21" t="str">
        <f aca="false">IF(C19="","",ROW()-1)</f>
        <v/>
      </c>
      <c r="B19" s="53"/>
      <c r="C19" s="22"/>
      <c r="D19" s="26"/>
    </row>
    <row r="20" customFormat="false" ht="15" hidden="false" customHeight="true" outlineLevel="0" collapsed="false">
      <c r="A20" s="21" t="str">
        <f aca="false">IF(C20="","",ROW()-1)</f>
        <v/>
      </c>
      <c r="B20" s="53"/>
      <c r="C20" s="22"/>
      <c r="D20" s="26"/>
    </row>
    <row r="21" customFormat="false" ht="15" hidden="false" customHeight="true" outlineLevel="0" collapsed="false">
      <c r="A21" s="21" t="str">
        <f aca="false">IF(C21="","",ROW()-1)</f>
        <v/>
      </c>
      <c r="B21" s="53"/>
      <c r="C21" s="22"/>
      <c r="D21" s="26"/>
    </row>
    <row r="22" customFormat="false" ht="15" hidden="false" customHeight="true" outlineLevel="0" collapsed="false">
      <c r="A22" s="21" t="str">
        <f aca="false">IF(C22="","",ROW()-1)</f>
        <v/>
      </c>
      <c r="B22" s="53"/>
      <c r="C22" s="22"/>
      <c r="D22" s="26"/>
    </row>
    <row r="23" customFormat="false" ht="15" hidden="false" customHeight="true" outlineLevel="0" collapsed="false">
      <c r="A23" s="21" t="str">
        <f aca="false">IF(C23="","",ROW()-1)</f>
        <v/>
      </c>
      <c r="B23" s="53"/>
      <c r="C23" s="22"/>
      <c r="D23" s="26"/>
    </row>
    <row r="24" customFormat="false" ht="15" hidden="false" customHeight="true" outlineLevel="0" collapsed="false">
      <c r="A24" s="21" t="str">
        <f aca="false">IF(C24="","",ROW()-1)</f>
        <v/>
      </c>
      <c r="B24" s="53"/>
      <c r="C24" s="22"/>
      <c r="D24" s="26"/>
    </row>
    <row r="25" customFormat="false" ht="15" hidden="false" customHeight="true" outlineLevel="0" collapsed="false">
      <c r="A25" s="21" t="str">
        <f aca="false">IF(C25="","",ROW()-1)</f>
        <v/>
      </c>
      <c r="B25" s="53"/>
      <c r="C25" s="22"/>
      <c r="D25" s="26"/>
    </row>
    <row r="26" customFormat="false" ht="15" hidden="false" customHeight="true" outlineLevel="0" collapsed="false">
      <c r="A26" s="21" t="str">
        <f aca="false">IF(C26="","",ROW()-1)</f>
        <v/>
      </c>
      <c r="B26" s="53"/>
      <c r="C26" s="22"/>
      <c r="D26" s="26"/>
    </row>
    <row r="27" customFormat="false" ht="15" hidden="false" customHeight="true" outlineLevel="0" collapsed="false">
      <c r="A27" s="21" t="str">
        <f aca="false">IF(C27="","",ROW()-1)</f>
        <v/>
      </c>
      <c r="B27" s="53"/>
      <c r="C27" s="22"/>
      <c r="D27" s="26"/>
    </row>
    <row r="28" customFormat="false" ht="15" hidden="false" customHeight="true" outlineLevel="0" collapsed="false">
      <c r="A28" s="21" t="str">
        <f aca="false">IF(C28="","",ROW()-1)</f>
        <v/>
      </c>
      <c r="B28" s="53"/>
      <c r="C28" s="22"/>
      <c r="D28" s="26"/>
    </row>
    <row r="29" customFormat="false" ht="15" hidden="false" customHeight="true" outlineLevel="0" collapsed="false">
      <c r="A29" s="21" t="str">
        <f aca="false">IF(C29="","",ROW()-1)</f>
        <v/>
      </c>
      <c r="B29" s="53"/>
      <c r="C29" s="22"/>
      <c r="D29" s="26"/>
    </row>
    <row r="30" customFormat="false" ht="15" hidden="false" customHeight="true" outlineLevel="0" collapsed="false">
      <c r="A30" s="21" t="str">
        <f aca="false">IF(C30="","",ROW()-1)</f>
        <v/>
      </c>
      <c r="B30" s="53"/>
      <c r="C30" s="22"/>
      <c r="D30" s="26"/>
    </row>
    <row r="31" customFormat="false" ht="15" hidden="false" customHeight="true" outlineLevel="0" collapsed="false">
      <c r="A31" s="21" t="str">
        <f aca="false">IF(C31="","",ROW()-1)</f>
        <v/>
      </c>
      <c r="B31" s="53"/>
      <c r="C31" s="22"/>
      <c r="D31" s="26"/>
    </row>
    <row r="32" customFormat="false" ht="15" hidden="false" customHeight="true" outlineLevel="0" collapsed="false">
      <c r="A32" s="21" t="str">
        <f aca="false">IF(C32="","",ROW()-1)</f>
        <v/>
      </c>
      <c r="B32" s="53"/>
      <c r="C32" s="22"/>
      <c r="D32" s="26"/>
    </row>
    <row r="33" customFormat="false" ht="15" hidden="false" customHeight="true" outlineLevel="0" collapsed="false">
      <c r="A33" s="21" t="str">
        <f aca="false">IF(C33="","",ROW()-1)</f>
        <v/>
      </c>
      <c r="B33" s="53"/>
      <c r="C33" s="22"/>
      <c r="D33" s="26"/>
    </row>
    <row r="34" customFormat="false" ht="15" hidden="false" customHeight="true" outlineLevel="0" collapsed="false">
      <c r="A34" s="21" t="str">
        <f aca="false">IF(C34="","",ROW()-1)</f>
        <v/>
      </c>
      <c r="B34" s="53"/>
      <c r="C34" s="22"/>
      <c r="D34" s="26"/>
    </row>
    <row r="35" customFormat="false" ht="15" hidden="false" customHeight="true" outlineLevel="0" collapsed="false">
      <c r="A35" s="21" t="str">
        <f aca="false">IF(C35="","",ROW()-1)</f>
        <v/>
      </c>
      <c r="B35" s="53"/>
      <c r="C35" s="22"/>
      <c r="D35" s="26"/>
    </row>
    <row r="36" customFormat="false" ht="15" hidden="false" customHeight="true" outlineLevel="0" collapsed="false">
      <c r="A36" s="21" t="str">
        <f aca="false">IF(C36="","",ROW()-1)</f>
        <v/>
      </c>
      <c r="B36" s="53"/>
      <c r="C36" s="22"/>
      <c r="D36" s="26"/>
    </row>
    <row r="37" customFormat="false" ht="15" hidden="false" customHeight="true" outlineLevel="0" collapsed="false">
      <c r="A37" s="21" t="str">
        <f aca="false">IF(C37="","",ROW()-1)</f>
        <v/>
      </c>
      <c r="B37" s="53"/>
      <c r="C37" s="22"/>
      <c r="D37" s="26"/>
    </row>
    <row r="38" customFormat="false" ht="15" hidden="false" customHeight="true" outlineLevel="0" collapsed="false">
      <c r="A38" s="21" t="str">
        <f aca="false">IF(C38="","",ROW()-1)</f>
        <v/>
      </c>
      <c r="B38" s="53"/>
      <c r="C38" s="22"/>
      <c r="D38" s="26"/>
    </row>
    <row r="39" customFormat="false" ht="15" hidden="false" customHeight="true" outlineLevel="0" collapsed="false">
      <c r="A39" s="21" t="str">
        <f aca="false">IF(C39="","",ROW()-1)</f>
        <v/>
      </c>
      <c r="B39" s="53"/>
      <c r="C39" s="22"/>
      <c r="D39" s="26"/>
    </row>
    <row r="40" customFormat="false" ht="15" hidden="false" customHeight="true" outlineLevel="0" collapsed="false">
      <c r="A40" s="21" t="str">
        <f aca="false">IF(C40="","",ROW()-1)</f>
        <v/>
      </c>
      <c r="B40" s="53"/>
      <c r="C40" s="22"/>
      <c r="D40" s="26"/>
    </row>
    <row r="41" customFormat="false" ht="15" hidden="false" customHeight="true" outlineLevel="0" collapsed="false">
      <c r="A41" s="21" t="str">
        <f aca="false">IF(C41="","",ROW()-1)</f>
        <v/>
      </c>
      <c r="B41" s="53"/>
      <c r="C41" s="22"/>
      <c r="D41" s="26"/>
    </row>
    <row r="42" customFormat="false" ht="15" hidden="false" customHeight="true" outlineLevel="0" collapsed="false">
      <c r="A42" s="21" t="str">
        <f aca="false">IF(C42="","",ROW()-1)</f>
        <v/>
      </c>
      <c r="B42" s="53"/>
      <c r="C42" s="22"/>
      <c r="D42" s="26"/>
    </row>
    <row r="43" customFormat="false" ht="15" hidden="false" customHeight="true" outlineLevel="0" collapsed="false">
      <c r="A43" s="21" t="str">
        <f aca="false">IF(C43="","",ROW()-1)</f>
        <v/>
      </c>
      <c r="B43" s="53"/>
      <c r="C43" s="22"/>
      <c r="D43" s="26"/>
    </row>
    <row r="44" customFormat="false" ht="15" hidden="false" customHeight="true" outlineLevel="0" collapsed="false">
      <c r="A44" s="21" t="str">
        <f aca="false">IF(C44="","",ROW()-1)</f>
        <v/>
      </c>
      <c r="B44" s="53"/>
      <c r="C44" s="22"/>
      <c r="D44" s="26"/>
    </row>
    <row r="45" customFormat="false" ht="15" hidden="false" customHeight="true" outlineLevel="0" collapsed="false">
      <c r="A45" s="21" t="str">
        <f aca="false">IF(C45="","",ROW()-1)</f>
        <v/>
      </c>
      <c r="B45" s="53"/>
      <c r="C45" s="22"/>
      <c r="D45" s="26"/>
    </row>
    <row r="46" customFormat="false" ht="15" hidden="false" customHeight="true" outlineLevel="0" collapsed="false">
      <c r="A46" s="21" t="str">
        <f aca="false">IF(C46="","",ROW()-1)</f>
        <v/>
      </c>
      <c r="B46" s="53"/>
      <c r="C46" s="22"/>
      <c r="D46" s="26"/>
    </row>
    <row r="47" customFormat="false" ht="15" hidden="false" customHeight="true" outlineLevel="0" collapsed="false">
      <c r="A47" s="21" t="str">
        <f aca="false">IF(C47="","",ROW()-1)</f>
        <v/>
      </c>
      <c r="B47" s="53"/>
      <c r="C47" s="22"/>
      <c r="D47" s="26"/>
    </row>
    <row r="48" customFormat="false" ht="15" hidden="false" customHeight="true" outlineLevel="0" collapsed="false">
      <c r="A48" s="21" t="str">
        <f aca="false">IF(C48="","",ROW()-1)</f>
        <v/>
      </c>
      <c r="B48" s="53"/>
      <c r="C48" s="22"/>
      <c r="D48" s="26"/>
    </row>
    <row r="49" customFormat="false" ht="15" hidden="false" customHeight="true" outlineLevel="0" collapsed="false">
      <c r="A49" s="21" t="str">
        <f aca="false">IF(C49="","",ROW()-1)</f>
        <v/>
      </c>
      <c r="B49" s="53"/>
      <c r="C49" s="22"/>
      <c r="D49" s="26"/>
    </row>
    <row r="50" customFormat="false" ht="15" hidden="false" customHeight="true" outlineLevel="0" collapsed="false">
      <c r="A50" s="21" t="str">
        <f aca="false">IF(C50="","",ROW()-1)</f>
        <v/>
      </c>
      <c r="B50" s="53"/>
      <c r="C50" s="22"/>
      <c r="D50" s="26"/>
    </row>
    <row r="51" customFormat="false" ht="15" hidden="false" customHeight="true" outlineLevel="0" collapsed="false">
      <c r="A51" s="21" t="str">
        <f aca="false">IF(C51="","",ROW()-1)</f>
        <v/>
      </c>
      <c r="B51" s="53"/>
      <c r="C51" s="22"/>
      <c r="D51" s="26"/>
    </row>
    <row r="52" customFormat="false" ht="15" hidden="false" customHeight="true" outlineLevel="0" collapsed="false">
      <c r="A52" s="21" t="str">
        <f aca="false">IF(C52="","",ROW()-1)</f>
        <v/>
      </c>
      <c r="B52" s="53"/>
      <c r="C52" s="22"/>
      <c r="D52" s="26"/>
    </row>
    <row r="53" customFormat="false" ht="15" hidden="false" customHeight="true" outlineLevel="0" collapsed="false">
      <c r="A53" s="21" t="str">
        <f aca="false">IF(C53="","",ROW()-1)</f>
        <v/>
      </c>
      <c r="B53" s="53"/>
      <c r="C53" s="22"/>
      <c r="D53" s="26"/>
    </row>
    <row r="54" customFormat="false" ht="15" hidden="false" customHeight="true" outlineLevel="0" collapsed="false">
      <c r="A54" s="21" t="str">
        <f aca="false">IF(C54="","",ROW()-1)</f>
        <v/>
      </c>
      <c r="B54" s="53"/>
      <c r="C54" s="22"/>
      <c r="D54" s="26"/>
    </row>
    <row r="55" customFormat="false" ht="15" hidden="false" customHeight="true" outlineLevel="0" collapsed="false">
      <c r="A55" s="21" t="str">
        <f aca="false">IF(C55="","",ROW()-1)</f>
        <v/>
      </c>
      <c r="B55" s="53"/>
      <c r="C55" s="22"/>
      <c r="D55" s="26"/>
    </row>
    <row r="56" customFormat="false" ht="15" hidden="false" customHeight="true" outlineLevel="0" collapsed="false">
      <c r="A56" s="21" t="str">
        <f aca="false">IF(C56="","",ROW()-1)</f>
        <v/>
      </c>
      <c r="B56" s="53"/>
      <c r="C56" s="22"/>
      <c r="D56" s="26"/>
    </row>
    <row r="57" customFormat="false" ht="15" hidden="false" customHeight="true" outlineLevel="0" collapsed="false">
      <c r="A57" s="21" t="str">
        <f aca="false">IF(C57="","",ROW()-1)</f>
        <v/>
      </c>
      <c r="B57" s="53"/>
      <c r="C57" s="22"/>
      <c r="D57" s="26"/>
    </row>
    <row r="58" customFormat="false" ht="15" hidden="false" customHeight="true" outlineLevel="0" collapsed="false">
      <c r="A58" s="21" t="str">
        <f aca="false">IF(C58="","",ROW()-1)</f>
        <v/>
      </c>
      <c r="B58" s="53"/>
      <c r="C58" s="22"/>
      <c r="D58" s="26"/>
    </row>
    <row r="59" customFormat="false" ht="15" hidden="false" customHeight="true" outlineLevel="0" collapsed="false">
      <c r="A59" s="21" t="str">
        <f aca="false">IF(C59="","",ROW()-1)</f>
        <v/>
      </c>
      <c r="B59" s="53"/>
      <c r="C59" s="22"/>
      <c r="D59" s="26"/>
    </row>
    <row r="60" customFormat="false" ht="15" hidden="false" customHeight="true" outlineLevel="0" collapsed="false">
      <c r="A60" s="21" t="str">
        <f aca="false">IF(C60="","",ROW()-1)</f>
        <v/>
      </c>
      <c r="B60" s="53"/>
      <c r="C60" s="22"/>
      <c r="D60" s="26"/>
    </row>
    <row r="61" customFormat="false" ht="15" hidden="false" customHeight="true" outlineLevel="0" collapsed="false">
      <c r="A61" s="21" t="str">
        <f aca="false">IF(C61="","",ROW()-1)</f>
        <v/>
      </c>
      <c r="B61" s="53"/>
      <c r="C61" s="22"/>
      <c r="D61" s="26"/>
    </row>
    <row r="62" customFormat="false" ht="15" hidden="false" customHeight="true" outlineLevel="0" collapsed="false">
      <c r="A62" s="21" t="str">
        <f aca="false">IF(C62="","",ROW()-1)</f>
        <v/>
      </c>
      <c r="B62" s="53"/>
      <c r="C62" s="22"/>
      <c r="D62" s="26"/>
    </row>
    <row r="63" customFormat="false" ht="15" hidden="false" customHeight="true" outlineLevel="0" collapsed="false">
      <c r="A63" s="21" t="str">
        <f aca="false">IF(C63="","",ROW()-1)</f>
        <v/>
      </c>
      <c r="B63" s="53"/>
      <c r="C63" s="22"/>
      <c r="D63" s="26"/>
    </row>
    <row r="64" customFormat="false" ht="15" hidden="false" customHeight="true" outlineLevel="0" collapsed="false">
      <c r="A64" s="21" t="str">
        <f aca="false">IF(C64="","",ROW()-1)</f>
        <v/>
      </c>
      <c r="B64" s="53"/>
      <c r="C64" s="22"/>
      <c r="D64" s="26"/>
    </row>
    <row r="65" customFormat="false" ht="15" hidden="false" customHeight="true" outlineLevel="0" collapsed="false">
      <c r="A65" s="21" t="str">
        <f aca="false">IF(C65="","",ROW()-1)</f>
        <v/>
      </c>
      <c r="B65" s="53"/>
      <c r="C65" s="22"/>
      <c r="D65" s="26"/>
    </row>
    <row r="66" customFormat="false" ht="15" hidden="false" customHeight="true" outlineLevel="0" collapsed="false">
      <c r="A66" s="21" t="str">
        <f aca="false">IF(C66="","",ROW()-1)</f>
        <v/>
      </c>
      <c r="B66" s="53"/>
      <c r="C66" s="22"/>
      <c r="D66" s="26"/>
    </row>
    <row r="67" customFormat="false" ht="15" hidden="false" customHeight="true" outlineLevel="0" collapsed="false">
      <c r="A67" s="21" t="str">
        <f aca="false">IF(C67="","",ROW()-1)</f>
        <v/>
      </c>
      <c r="B67" s="53"/>
      <c r="C67" s="22"/>
      <c r="D67" s="26"/>
    </row>
    <row r="68" customFormat="false" ht="15" hidden="false" customHeight="true" outlineLevel="0" collapsed="false">
      <c r="A68" s="21" t="str">
        <f aca="false">IF(C68="","",ROW()-1)</f>
        <v/>
      </c>
      <c r="B68" s="53"/>
      <c r="C68" s="22"/>
      <c r="D68" s="26"/>
    </row>
    <row r="69" customFormat="false" ht="15" hidden="false" customHeight="true" outlineLevel="0" collapsed="false">
      <c r="A69" s="21" t="str">
        <f aca="false">IF(C69="","",ROW()-1)</f>
        <v/>
      </c>
      <c r="B69" s="53"/>
      <c r="C69" s="22"/>
      <c r="D69" s="26"/>
    </row>
    <row r="70" customFormat="false" ht="15" hidden="false" customHeight="true" outlineLevel="0" collapsed="false">
      <c r="A70" s="21" t="str">
        <f aca="false">IF(C70="","",ROW()-1)</f>
        <v/>
      </c>
      <c r="B70" s="53"/>
      <c r="C70" s="22"/>
      <c r="D70" s="26"/>
    </row>
    <row r="71" customFormat="false" ht="15" hidden="false" customHeight="true" outlineLevel="0" collapsed="false">
      <c r="A71" s="21" t="str">
        <f aca="false">IF(C71="","",ROW()-1)</f>
        <v/>
      </c>
      <c r="B71" s="53"/>
      <c r="C71" s="22"/>
      <c r="D71" s="26"/>
    </row>
    <row r="72" customFormat="false" ht="15" hidden="false" customHeight="true" outlineLevel="0" collapsed="false">
      <c r="A72" s="21" t="str">
        <f aca="false">IF(C72="","",ROW()-1)</f>
        <v/>
      </c>
      <c r="B72" s="53"/>
      <c r="C72" s="22"/>
      <c r="D72" s="26"/>
    </row>
    <row r="73" customFormat="false" ht="15" hidden="false" customHeight="true" outlineLevel="0" collapsed="false">
      <c r="A73" s="21" t="str">
        <f aca="false">IF(C73="","",ROW()-1)</f>
        <v/>
      </c>
      <c r="B73" s="53"/>
      <c r="C73" s="22"/>
      <c r="D73" s="26"/>
    </row>
    <row r="74" customFormat="false" ht="15" hidden="false" customHeight="true" outlineLevel="0" collapsed="false">
      <c r="A74" s="21" t="str">
        <f aca="false">IF(C74="","",ROW()-1)</f>
        <v/>
      </c>
      <c r="B74" s="53"/>
      <c r="C74" s="22"/>
      <c r="D74" s="26"/>
    </row>
    <row r="75" customFormat="false" ht="15" hidden="false" customHeight="true" outlineLevel="0" collapsed="false">
      <c r="A75" s="21" t="str">
        <f aca="false">IF(C75="","",ROW()-1)</f>
        <v/>
      </c>
      <c r="B75" s="53"/>
      <c r="C75" s="22"/>
      <c r="D75" s="26"/>
    </row>
    <row r="76" customFormat="false" ht="15" hidden="false" customHeight="true" outlineLevel="0" collapsed="false">
      <c r="A76" s="21" t="str">
        <f aca="false">IF(C76="","",ROW()-1)</f>
        <v/>
      </c>
      <c r="B76" s="53"/>
      <c r="C76" s="22"/>
      <c r="D76" s="26"/>
    </row>
    <row r="77" customFormat="false" ht="15" hidden="false" customHeight="true" outlineLevel="0" collapsed="false">
      <c r="A77" s="21" t="str">
        <f aca="false">IF(C77="","",ROW()-1)</f>
        <v/>
      </c>
      <c r="B77" s="53"/>
      <c r="C77" s="22"/>
      <c r="D77" s="26"/>
    </row>
    <row r="78" customFormat="false" ht="15" hidden="false" customHeight="true" outlineLevel="0" collapsed="false">
      <c r="A78" s="21" t="str">
        <f aca="false">IF(C78="","",ROW()-1)</f>
        <v/>
      </c>
      <c r="B78" s="53"/>
      <c r="C78" s="22"/>
      <c r="D78" s="26"/>
    </row>
    <row r="79" customFormat="false" ht="15" hidden="false" customHeight="true" outlineLevel="0" collapsed="false">
      <c r="A79" s="21" t="str">
        <f aca="false">IF(C79="","",ROW()-1)</f>
        <v/>
      </c>
      <c r="B79" s="53"/>
      <c r="C79" s="22"/>
      <c r="D79" s="26"/>
    </row>
    <row r="80" customFormat="false" ht="15" hidden="false" customHeight="true" outlineLevel="0" collapsed="false">
      <c r="A80" s="21" t="str">
        <f aca="false">IF(C80="","",ROW()-1)</f>
        <v/>
      </c>
      <c r="B80" s="53"/>
      <c r="C80" s="22"/>
      <c r="D80" s="26"/>
    </row>
    <row r="81" customFormat="false" ht="15" hidden="false" customHeight="true" outlineLevel="0" collapsed="false">
      <c r="A81" s="21" t="str">
        <f aca="false">IF(C81="","",ROW()-1)</f>
        <v/>
      </c>
      <c r="B81" s="53"/>
      <c r="C81" s="22"/>
      <c r="D81" s="26"/>
    </row>
    <row r="82" customFormat="false" ht="15" hidden="false" customHeight="true" outlineLevel="0" collapsed="false">
      <c r="A82" s="21" t="str">
        <f aca="false">IF(C82="","",ROW()-1)</f>
        <v/>
      </c>
      <c r="B82" s="53"/>
      <c r="C82" s="22"/>
      <c r="D82" s="26"/>
    </row>
    <row r="83" customFormat="false" ht="15" hidden="false" customHeight="true" outlineLevel="0" collapsed="false">
      <c r="A83" s="21" t="str">
        <f aca="false">IF(C83="","",ROW()-1)</f>
        <v/>
      </c>
      <c r="B83" s="53"/>
      <c r="C83" s="22"/>
      <c r="D83" s="26"/>
    </row>
    <row r="84" customFormat="false" ht="15" hidden="false" customHeight="true" outlineLevel="0" collapsed="false">
      <c r="A84" s="21" t="str">
        <f aca="false">IF(C84="","",ROW()-1)</f>
        <v/>
      </c>
      <c r="B84" s="53"/>
      <c r="C84" s="22"/>
      <c r="D84" s="26"/>
    </row>
    <row r="85" customFormat="false" ht="15" hidden="false" customHeight="true" outlineLevel="0" collapsed="false">
      <c r="A85" s="21" t="str">
        <f aca="false">IF(C85="","",ROW()-1)</f>
        <v/>
      </c>
      <c r="B85" s="53"/>
      <c r="C85" s="22"/>
      <c r="D85" s="26"/>
    </row>
    <row r="86" customFormat="false" ht="15" hidden="false" customHeight="true" outlineLevel="0" collapsed="false">
      <c r="A86" s="21" t="str">
        <f aca="false">IF(C86="","",ROW()-1)</f>
        <v/>
      </c>
      <c r="B86" s="53"/>
      <c r="C86" s="22"/>
      <c r="D86" s="26"/>
    </row>
    <row r="87" customFormat="false" ht="15" hidden="false" customHeight="true" outlineLevel="0" collapsed="false">
      <c r="A87" s="21" t="str">
        <f aca="false">IF(C87="","",ROW()-1)</f>
        <v/>
      </c>
      <c r="B87" s="53"/>
      <c r="C87" s="22"/>
      <c r="D87" s="26"/>
    </row>
    <row r="88" customFormat="false" ht="15" hidden="false" customHeight="true" outlineLevel="0" collapsed="false">
      <c r="A88" s="21" t="str">
        <f aca="false">IF(C88="","",ROW()-1)</f>
        <v/>
      </c>
      <c r="B88" s="53"/>
      <c r="C88" s="22"/>
      <c r="D88" s="26"/>
    </row>
    <row r="89" customFormat="false" ht="15" hidden="false" customHeight="true" outlineLevel="0" collapsed="false">
      <c r="A89" s="21" t="str">
        <f aca="false">IF(C89="","",ROW()-1)</f>
        <v/>
      </c>
      <c r="B89" s="53"/>
      <c r="C89" s="22"/>
      <c r="D89" s="26"/>
    </row>
    <row r="90" customFormat="false" ht="15" hidden="false" customHeight="true" outlineLevel="0" collapsed="false">
      <c r="A90" s="21" t="str">
        <f aca="false">IF(C90="","",ROW()-1)</f>
        <v/>
      </c>
      <c r="B90" s="53"/>
      <c r="C90" s="22"/>
      <c r="D90" s="26"/>
    </row>
    <row r="91" customFormat="false" ht="15" hidden="false" customHeight="true" outlineLevel="0" collapsed="false">
      <c r="A91" s="21" t="str">
        <f aca="false">IF(C91="","",ROW()-1)</f>
        <v/>
      </c>
      <c r="B91" s="53"/>
      <c r="C91" s="22"/>
      <c r="D91" s="26"/>
    </row>
    <row r="92" customFormat="false" ht="15" hidden="false" customHeight="true" outlineLevel="0" collapsed="false">
      <c r="A92" s="21" t="str">
        <f aca="false">IF(C92="","",ROW()-1)</f>
        <v/>
      </c>
      <c r="B92" s="53"/>
      <c r="C92" s="22"/>
      <c r="D92" s="26"/>
    </row>
    <row r="93" customFormat="false" ht="15" hidden="false" customHeight="true" outlineLevel="0" collapsed="false">
      <c r="A93" s="21" t="str">
        <f aca="false">IF(C93="","",ROW()-1)</f>
        <v/>
      </c>
      <c r="B93" s="53"/>
      <c r="C93" s="22"/>
      <c r="D93" s="26"/>
    </row>
    <row r="94" customFormat="false" ht="15" hidden="false" customHeight="true" outlineLevel="0" collapsed="false">
      <c r="A94" s="21" t="str">
        <f aca="false">IF(C94="","",ROW()-1)</f>
        <v/>
      </c>
      <c r="B94" s="53"/>
      <c r="C94" s="22"/>
      <c r="D94" s="26"/>
    </row>
    <row r="95" customFormat="false" ht="15" hidden="false" customHeight="true" outlineLevel="0" collapsed="false">
      <c r="A95" s="21" t="str">
        <f aca="false">IF(C95="","",ROW()-1)</f>
        <v/>
      </c>
      <c r="B95" s="53"/>
      <c r="C95" s="22"/>
      <c r="D95" s="26"/>
    </row>
    <row r="96" customFormat="false" ht="15" hidden="false" customHeight="true" outlineLevel="0" collapsed="false">
      <c r="A96" s="21" t="str">
        <f aca="false">IF(C96="","",ROW()-1)</f>
        <v/>
      </c>
      <c r="B96" s="53"/>
      <c r="C96" s="22"/>
      <c r="D96" s="26"/>
    </row>
    <row r="97" customFormat="false" ht="15" hidden="false" customHeight="true" outlineLevel="0" collapsed="false">
      <c r="A97" s="21" t="str">
        <f aca="false">IF(C97="","",ROW()-1)</f>
        <v/>
      </c>
      <c r="B97" s="53"/>
      <c r="C97" s="22"/>
      <c r="D97" s="26"/>
    </row>
    <row r="98" customFormat="false" ht="15" hidden="false" customHeight="true" outlineLevel="0" collapsed="false">
      <c r="A98" s="21" t="str">
        <f aca="false">IF(C98="","",ROW()-1)</f>
        <v/>
      </c>
      <c r="B98" s="53"/>
      <c r="C98" s="22"/>
      <c r="D98" s="26"/>
    </row>
    <row r="99" customFormat="false" ht="15" hidden="false" customHeight="true" outlineLevel="0" collapsed="false">
      <c r="A99" s="21" t="str">
        <f aca="false">IF(C99="","",ROW()-1)</f>
        <v/>
      </c>
      <c r="B99" s="53"/>
      <c r="C99" s="22"/>
      <c r="D99" s="26"/>
    </row>
    <row r="100" customFormat="false" ht="15" hidden="false" customHeight="true" outlineLevel="0" collapsed="false">
      <c r="A100" s="21" t="str">
        <f aca="false">IF(C100="","",ROW()-1)</f>
        <v/>
      </c>
      <c r="B100" s="53"/>
      <c r="C100" s="22"/>
      <c r="D100" s="26"/>
    </row>
    <row r="101" customFormat="false" ht="15" hidden="false" customHeight="true" outlineLevel="0" collapsed="false">
      <c r="A101" s="21" t="str">
        <f aca="false">IF(C101="","",ROW()-1)</f>
        <v/>
      </c>
      <c r="B101" s="53"/>
      <c r="C101" s="22"/>
      <c r="D101" s="26"/>
    </row>
    <row r="102" customFormat="false" ht="15" hidden="false" customHeight="true" outlineLevel="0" collapsed="false">
      <c r="A102" s="21" t="str">
        <f aca="false">IF(C102="","",ROW()-1)</f>
        <v/>
      </c>
      <c r="B102" s="53"/>
      <c r="C102" s="22"/>
      <c r="D102" s="26"/>
    </row>
    <row r="103" customFormat="false" ht="15" hidden="false" customHeight="true" outlineLevel="0" collapsed="false">
      <c r="A103" s="21" t="str">
        <f aca="false">IF(C103="","",ROW()-1)</f>
        <v/>
      </c>
      <c r="B103" s="53"/>
      <c r="C103" s="22"/>
      <c r="D103" s="26"/>
    </row>
    <row r="104" customFormat="false" ht="15" hidden="false" customHeight="true" outlineLevel="0" collapsed="false">
      <c r="A104" s="21" t="str">
        <f aca="false">IF(C104="","",ROW()-1)</f>
        <v/>
      </c>
      <c r="B104" s="53"/>
      <c r="C104" s="22"/>
      <c r="D104" s="26"/>
    </row>
    <row r="105" customFormat="false" ht="15" hidden="false" customHeight="true" outlineLevel="0" collapsed="false">
      <c r="A105" s="21" t="str">
        <f aca="false">IF(C105="","",ROW()-1)</f>
        <v/>
      </c>
      <c r="B105" s="53"/>
      <c r="C105" s="22"/>
      <c r="D105" s="26"/>
    </row>
    <row r="106" customFormat="false" ht="15" hidden="false" customHeight="true" outlineLevel="0" collapsed="false">
      <c r="A106" s="21" t="str">
        <f aca="false">IF(C106="","",ROW()-1)</f>
        <v/>
      </c>
      <c r="B106" s="53"/>
      <c r="C106" s="22"/>
      <c r="D106" s="26"/>
    </row>
    <row r="107" customFormat="false" ht="15" hidden="false" customHeight="true" outlineLevel="0" collapsed="false">
      <c r="A107" s="21" t="str">
        <f aca="false">IF(C107="","",ROW()-1)</f>
        <v/>
      </c>
      <c r="B107" s="53"/>
      <c r="C107" s="22"/>
      <c r="D107" s="26"/>
    </row>
    <row r="108" customFormat="false" ht="15" hidden="false" customHeight="true" outlineLevel="0" collapsed="false">
      <c r="A108" s="21" t="str">
        <f aca="false">IF(C108="","",ROW()-1)</f>
        <v/>
      </c>
      <c r="B108" s="53"/>
      <c r="C108" s="22"/>
      <c r="D108" s="26"/>
    </row>
    <row r="109" customFormat="false" ht="15" hidden="false" customHeight="true" outlineLevel="0" collapsed="false">
      <c r="A109" s="21" t="str">
        <f aca="false">IF(C109="","",ROW()-1)</f>
        <v/>
      </c>
      <c r="B109" s="53"/>
      <c r="C109" s="22"/>
      <c r="D109" s="26"/>
    </row>
    <row r="110" customFormat="false" ht="15" hidden="false" customHeight="true" outlineLevel="0" collapsed="false">
      <c r="A110" s="21" t="str">
        <f aca="false">IF(C110="","",ROW()-1)</f>
        <v/>
      </c>
      <c r="B110" s="53"/>
      <c r="C110" s="22"/>
      <c r="D110" s="26"/>
    </row>
    <row r="111" customFormat="false" ht="15" hidden="false" customHeight="true" outlineLevel="0" collapsed="false">
      <c r="A111" s="21" t="str">
        <f aca="false">IF(C111="","",ROW()-1)</f>
        <v/>
      </c>
      <c r="B111" s="53"/>
      <c r="C111" s="22"/>
      <c r="D111" s="26"/>
    </row>
    <row r="112" customFormat="false" ht="15" hidden="false" customHeight="true" outlineLevel="0" collapsed="false">
      <c r="A112" s="21" t="str">
        <f aca="false">IF(C112="","",ROW()-1)</f>
        <v/>
      </c>
      <c r="B112" s="53"/>
      <c r="C112" s="22"/>
      <c r="D112" s="26"/>
    </row>
    <row r="113" customFormat="false" ht="15" hidden="false" customHeight="true" outlineLevel="0" collapsed="false">
      <c r="A113" s="21" t="str">
        <f aca="false">IF(C113="","",ROW()-1)</f>
        <v/>
      </c>
      <c r="B113" s="53"/>
      <c r="C113" s="22"/>
      <c r="D113" s="26"/>
    </row>
    <row r="114" customFormat="false" ht="15" hidden="false" customHeight="true" outlineLevel="0" collapsed="false">
      <c r="A114" s="21" t="str">
        <f aca="false">IF(C114="","",ROW()-1)</f>
        <v/>
      </c>
      <c r="B114" s="53"/>
      <c r="C114" s="22"/>
      <c r="D114" s="26"/>
    </row>
    <row r="115" customFormat="false" ht="15" hidden="false" customHeight="true" outlineLevel="0" collapsed="false">
      <c r="A115" s="21" t="str">
        <f aca="false">IF(C115="","",ROW()-1)</f>
        <v/>
      </c>
      <c r="B115" s="53"/>
      <c r="C115" s="22"/>
      <c r="D115" s="26"/>
    </row>
    <row r="116" customFormat="false" ht="15" hidden="false" customHeight="true" outlineLevel="0" collapsed="false">
      <c r="A116" s="21" t="str">
        <f aca="false">IF(C116="","",ROW()-1)</f>
        <v/>
      </c>
      <c r="B116" s="53"/>
      <c r="C116" s="22"/>
      <c r="D116" s="26"/>
    </row>
    <row r="117" customFormat="false" ht="15" hidden="false" customHeight="true" outlineLevel="0" collapsed="false">
      <c r="A117" s="21" t="str">
        <f aca="false">IF(C117="","",ROW()-1)</f>
        <v/>
      </c>
      <c r="B117" s="53"/>
      <c r="C117" s="22"/>
      <c r="D117" s="26"/>
    </row>
    <row r="118" customFormat="false" ht="15" hidden="false" customHeight="true" outlineLevel="0" collapsed="false">
      <c r="A118" s="21" t="str">
        <f aca="false">IF(C118="","",ROW()-1)</f>
        <v/>
      </c>
      <c r="B118" s="53"/>
      <c r="C118" s="22"/>
      <c r="D118" s="26"/>
    </row>
    <row r="119" customFormat="false" ht="15" hidden="false" customHeight="true" outlineLevel="0" collapsed="false">
      <c r="A119" s="21" t="str">
        <f aca="false">IF(C119="","",ROW()-1)</f>
        <v/>
      </c>
      <c r="B119" s="53"/>
      <c r="C119" s="22"/>
      <c r="D119" s="26"/>
    </row>
    <row r="120" customFormat="false" ht="15" hidden="false" customHeight="true" outlineLevel="0" collapsed="false">
      <c r="A120" s="21" t="str">
        <f aca="false">IF(C120="","",ROW()-1)</f>
        <v/>
      </c>
      <c r="B120" s="53"/>
      <c r="C120" s="22"/>
      <c r="D120" s="26"/>
    </row>
    <row r="121" customFormat="false" ht="15" hidden="false" customHeight="true" outlineLevel="0" collapsed="false">
      <c r="A121" s="21" t="str">
        <f aca="false">IF(C121="","",ROW()-1)</f>
        <v/>
      </c>
      <c r="B121" s="53"/>
      <c r="C121" s="22"/>
      <c r="D121" s="26"/>
    </row>
    <row r="122" customFormat="false" ht="15" hidden="false" customHeight="true" outlineLevel="0" collapsed="false">
      <c r="A122" s="21" t="str">
        <f aca="false">IF(C122="","",ROW()-1)</f>
        <v/>
      </c>
      <c r="B122" s="53"/>
      <c r="C122" s="22"/>
      <c r="D122" s="26"/>
    </row>
    <row r="123" customFormat="false" ht="15" hidden="false" customHeight="true" outlineLevel="0" collapsed="false">
      <c r="A123" s="21" t="str">
        <f aca="false">IF(C123="","",ROW()-1)</f>
        <v/>
      </c>
      <c r="B123" s="53"/>
      <c r="C123" s="22"/>
      <c r="D123" s="26"/>
    </row>
    <row r="124" customFormat="false" ht="15" hidden="false" customHeight="true" outlineLevel="0" collapsed="false">
      <c r="A124" s="21" t="str">
        <f aca="false">IF(C124="","",ROW()-1)</f>
        <v/>
      </c>
      <c r="B124" s="53"/>
      <c r="C124" s="22"/>
      <c r="D124" s="26"/>
    </row>
    <row r="125" customFormat="false" ht="15" hidden="false" customHeight="true" outlineLevel="0" collapsed="false">
      <c r="A125" s="21" t="str">
        <f aca="false">IF(C125="","",ROW()-1)</f>
        <v/>
      </c>
      <c r="B125" s="53"/>
      <c r="C125" s="22"/>
      <c r="D125" s="26"/>
    </row>
    <row r="126" customFormat="false" ht="15" hidden="false" customHeight="true" outlineLevel="0" collapsed="false">
      <c r="A126" s="21" t="str">
        <f aca="false">IF(C126="","",ROW()-1)</f>
        <v/>
      </c>
      <c r="B126" s="53"/>
      <c r="C126" s="22"/>
      <c r="D126" s="26"/>
    </row>
    <row r="127" customFormat="false" ht="15" hidden="false" customHeight="true" outlineLevel="0" collapsed="false">
      <c r="A127" s="21" t="str">
        <f aca="false">IF(C127="","",ROW()-1)</f>
        <v/>
      </c>
      <c r="B127" s="53"/>
      <c r="C127" s="22"/>
      <c r="D127" s="26"/>
    </row>
    <row r="128" customFormat="false" ht="15" hidden="false" customHeight="true" outlineLevel="0" collapsed="false">
      <c r="A128" s="21" t="str">
        <f aca="false">IF(C128="","",ROW()-1)</f>
        <v/>
      </c>
      <c r="B128" s="53"/>
      <c r="C128" s="22"/>
      <c r="D128" s="26"/>
    </row>
    <row r="129" customFormat="false" ht="15" hidden="false" customHeight="true" outlineLevel="0" collapsed="false">
      <c r="A129" s="21" t="str">
        <f aca="false">IF(C129="","",ROW()-1)</f>
        <v/>
      </c>
      <c r="B129" s="53"/>
      <c r="C129" s="22"/>
      <c r="D129" s="26"/>
    </row>
    <row r="130" customFormat="false" ht="15" hidden="false" customHeight="true" outlineLevel="0" collapsed="false">
      <c r="A130" s="21" t="str">
        <f aca="false">IF(C130="","",ROW()-1)</f>
        <v/>
      </c>
      <c r="B130" s="53"/>
      <c r="C130" s="22"/>
      <c r="D130" s="26"/>
    </row>
    <row r="131" customFormat="false" ht="15" hidden="false" customHeight="true" outlineLevel="0" collapsed="false">
      <c r="A131" s="21" t="str">
        <f aca="false">IF(C131="","",ROW()-1)</f>
        <v/>
      </c>
      <c r="B131" s="53"/>
      <c r="C131" s="22"/>
      <c r="D131" s="26"/>
    </row>
    <row r="132" customFormat="false" ht="15" hidden="false" customHeight="true" outlineLevel="0" collapsed="false">
      <c r="A132" s="21" t="str">
        <f aca="false">IF(C132="","",ROW()-1)</f>
        <v/>
      </c>
      <c r="B132" s="53"/>
      <c r="C132" s="22"/>
      <c r="D132" s="26"/>
    </row>
    <row r="133" customFormat="false" ht="15" hidden="false" customHeight="true" outlineLevel="0" collapsed="false">
      <c r="A133" s="21" t="str">
        <f aca="false">IF(C133="","",ROW()-1)</f>
        <v/>
      </c>
      <c r="B133" s="53"/>
      <c r="C133" s="22"/>
      <c r="D133" s="26"/>
    </row>
    <row r="134" customFormat="false" ht="15" hidden="false" customHeight="true" outlineLevel="0" collapsed="false">
      <c r="A134" s="21" t="str">
        <f aca="false">IF(C134="","",ROW()-1)</f>
        <v/>
      </c>
      <c r="B134" s="53"/>
      <c r="C134" s="22"/>
      <c r="D134" s="26"/>
    </row>
    <row r="135" customFormat="false" ht="15" hidden="false" customHeight="true" outlineLevel="0" collapsed="false">
      <c r="A135" s="21" t="str">
        <f aca="false">IF(C135="","",ROW()-1)</f>
        <v/>
      </c>
      <c r="B135" s="53"/>
      <c r="C135" s="22"/>
      <c r="D135" s="26"/>
    </row>
    <row r="136" customFormat="false" ht="15" hidden="false" customHeight="true" outlineLevel="0" collapsed="false">
      <c r="A136" s="21" t="str">
        <f aca="false">IF(C136="","",ROW()-1)</f>
        <v/>
      </c>
      <c r="B136" s="53"/>
      <c r="C136" s="22"/>
      <c r="D136" s="26"/>
    </row>
    <row r="137" customFormat="false" ht="15" hidden="false" customHeight="true" outlineLevel="0" collapsed="false">
      <c r="A137" s="21" t="str">
        <f aca="false">IF(C137="","",ROW()-1)</f>
        <v/>
      </c>
      <c r="B137" s="53"/>
      <c r="C137" s="22"/>
      <c r="D137" s="26"/>
    </row>
    <row r="138" customFormat="false" ht="15" hidden="false" customHeight="true" outlineLevel="0" collapsed="false">
      <c r="A138" s="21" t="str">
        <f aca="false">IF(C138="","",ROW()-1)</f>
        <v/>
      </c>
      <c r="B138" s="53"/>
      <c r="C138" s="22"/>
      <c r="D138" s="26"/>
    </row>
    <row r="139" customFormat="false" ht="15" hidden="false" customHeight="true" outlineLevel="0" collapsed="false">
      <c r="A139" s="21" t="str">
        <f aca="false">IF(C139="","",ROW()-1)</f>
        <v/>
      </c>
      <c r="B139" s="53"/>
      <c r="C139" s="22"/>
      <c r="D139" s="26"/>
    </row>
    <row r="140" customFormat="false" ht="15" hidden="false" customHeight="true" outlineLevel="0" collapsed="false">
      <c r="A140" s="21" t="str">
        <f aca="false">IF(C140="","",ROW()-1)</f>
        <v/>
      </c>
      <c r="B140" s="53"/>
      <c r="C140" s="22"/>
      <c r="D140" s="26"/>
    </row>
    <row r="141" customFormat="false" ht="15" hidden="false" customHeight="true" outlineLevel="0" collapsed="false">
      <c r="A141" s="21" t="str">
        <f aca="false">IF(C141="","",ROW()-1)</f>
        <v/>
      </c>
      <c r="B141" s="53"/>
      <c r="C141" s="22"/>
      <c r="D141" s="26"/>
    </row>
    <row r="142" customFormat="false" ht="15" hidden="false" customHeight="true" outlineLevel="0" collapsed="false">
      <c r="A142" s="21" t="str">
        <f aca="false">IF(C142="","",ROW()-1)</f>
        <v/>
      </c>
      <c r="B142" s="53"/>
      <c r="C142" s="22"/>
      <c r="D142" s="26"/>
    </row>
    <row r="143" customFormat="false" ht="15" hidden="false" customHeight="true" outlineLevel="0" collapsed="false">
      <c r="A143" s="21" t="str">
        <f aca="false">IF(C143="","",ROW()-1)</f>
        <v/>
      </c>
      <c r="B143" s="53"/>
      <c r="C143" s="22"/>
      <c r="D143" s="26"/>
    </row>
    <row r="144" customFormat="false" ht="15" hidden="false" customHeight="true" outlineLevel="0" collapsed="false">
      <c r="A144" s="21" t="str">
        <f aca="false">IF(C144="","",ROW()-1)</f>
        <v/>
      </c>
      <c r="B144" s="53"/>
      <c r="C144" s="22"/>
      <c r="D144" s="26"/>
    </row>
    <row r="145" customFormat="false" ht="15" hidden="false" customHeight="true" outlineLevel="0" collapsed="false">
      <c r="A145" s="21" t="str">
        <f aca="false">IF(C145="","",ROW()-1)</f>
        <v/>
      </c>
      <c r="B145" s="53"/>
      <c r="C145" s="22"/>
      <c r="D145" s="26"/>
    </row>
    <row r="146" customFormat="false" ht="15" hidden="false" customHeight="true" outlineLevel="0" collapsed="false">
      <c r="A146" s="21" t="str">
        <f aca="false">IF(C146="","",ROW()-1)</f>
        <v/>
      </c>
      <c r="B146" s="53"/>
      <c r="C146" s="22"/>
      <c r="D146" s="26"/>
    </row>
    <row r="147" customFormat="false" ht="15" hidden="false" customHeight="true" outlineLevel="0" collapsed="false">
      <c r="A147" s="21" t="str">
        <f aca="false">IF(C147="","",ROW()-1)</f>
        <v/>
      </c>
      <c r="B147" s="53"/>
      <c r="C147" s="22"/>
      <c r="D147" s="26"/>
    </row>
    <row r="148" customFormat="false" ht="15" hidden="false" customHeight="true" outlineLevel="0" collapsed="false">
      <c r="A148" s="21" t="str">
        <f aca="false">IF(C148="","",ROW()-1)</f>
        <v/>
      </c>
      <c r="B148" s="53"/>
      <c r="C148" s="22"/>
      <c r="D148" s="26"/>
    </row>
    <row r="149" customFormat="false" ht="15" hidden="false" customHeight="true" outlineLevel="0" collapsed="false">
      <c r="A149" s="21" t="str">
        <f aca="false">IF(C149="","",ROW()-1)</f>
        <v/>
      </c>
      <c r="B149" s="53"/>
      <c r="C149" s="22"/>
      <c r="D149" s="26"/>
    </row>
    <row r="150" customFormat="false" ht="15" hidden="false" customHeight="true" outlineLevel="0" collapsed="false">
      <c r="A150" s="21" t="str">
        <f aca="false">IF(C150="","",ROW()-1)</f>
        <v/>
      </c>
      <c r="B150" s="53"/>
      <c r="C150" s="22"/>
      <c r="D150" s="26"/>
    </row>
    <row r="151" customFormat="false" ht="15" hidden="false" customHeight="true" outlineLevel="0" collapsed="false">
      <c r="A151" s="21" t="str">
        <f aca="false">IF(C151="","",ROW()-1)</f>
        <v/>
      </c>
      <c r="B151" s="53"/>
      <c r="C151" s="22"/>
      <c r="D151" s="26"/>
    </row>
    <row r="152" customFormat="false" ht="15" hidden="false" customHeight="true" outlineLevel="0" collapsed="false">
      <c r="A152" s="21" t="str">
        <f aca="false">IF(C152="","",ROW()-1)</f>
        <v/>
      </c>
      <c r="B152" s="53"/>
      <c r="C152" s="22"/>
      <c r="D152" s="26"/>
    </row>
    <row r="153" customFormat="false" ht="15" hidden="false" customHeight="true" outlineLevel="0" collapsed="false">
      <c r="A153" s="21" t="str">
        <f aca="false">IF(C153="","",ROW()-1)</f>
        <v/>
      </c>
      <c r="B153" s="53"/>
      <c r="C153" s="22"/>
      <c r="D153" s="26"/>
    </row>
    <row r="154" customFormat="false" ht="15" hidden="false" customHeight="true" outlineLevel="0" collapsed="false">
      <c r="A154" s="21" t="str">
        <f aca="false">IF(C154="","",ROW()-1)</f>
        <v/>
      </c>
      <c r="B154" s="53"/>
      <c r="C154" s="22"/>
      <c r="D154" s="26"/>
    </row>
    <row r="155" customFormat="false" ht="15" hidden="false" customHeight="true" outlineLevel="0" collapsed="false">
      <c r="A155" s="21" t="str">
        <f aca="false">IF(C155="","",ROW()-1)</f>
        <v/>
      </c>
      <c r="B155" s="53"/>
      <c r="C155" s="22"/>
      <c r="D155" s="26"/>
    </row>
    <row r="156" customFormat="false" ht="15" hidden="false" customHeight="true" outlineLevel="0" collapsed="false">
      <c r="A156" s="21" t="str">
        <f aca="false">IF(C156="","",ROW()-1)</f>
        <v/>
      </c>
      <c r="B156" s="53"/>
      <c r="C156" s="22"/>
      <c r="D156" s="26"/>
    </row>
    <row r="157" customFormat="false" ht="15" hidden="false" customHeight="true" outlineLevel="0" collapsed="false">
      <c r="A157" s="21" t="str">
        <f aca="false">IF(C157="","",ROW()-1)</f>
        <v/>
      </c>
      <c r="B157" s="53"/>
      <c r="C157" s="22"/>
      <c r="D157" s="26"/>
    </row>
    <row r="158" customFormat="false" ht="15" hidden="false" customHeight="true" outlineLevel="0" collapsed="false">
      <c r="A158" s="21" t="str">
        <f aca="false">IF(C158="","",ROW()-1)</f>
        <v/>
      </c>
      <c r="B158" s="53"/>
      <c r="C158" s="22"/>
      <c r="D158" s="26"/>
    </row>
    <row r="159" customFormat="false" ht="15" hidden="false" customHeight="true" outlineLevel="0" collapsed="false">
      <c r="A159" s="21" t="str">
        <f aca="false">IF(C159="","",ROW()-1)</f>
        <v/>
      </c>
      <c r="B159" s="53"/>
      <c r="C159" s="22"/>
      <c r="D159" s="26"/>
    </row>
    <row r="160" customFormat="false" ht="15" hidden="false" customHeight="true" outlineLevel="0" collapsed="false">
      <c r="A160" s="21" t="str">
        <f aca="false">IF(C160="","",ROW()-1)</f>
        <v/>
      </c>
      <c r="B160" s="53"/>
      <c r="C160" s="22"/>
      <c r="D160" s="26"/>
    </row>
    <row r="161" customFormat="false" ht="15" hidden="false" customHeight="true" outlineLevel="0" collapsed="false">
      <c r="A161" s="21" t="str">
        <f aca="false">IF(C161="","",ROW()-1)</f>
        <v/>
      </c>
      <c r="B161" s="53"/>
      <c r="C161" s="22"/>
      <c r="D161" s="26"/>
    </row>
    <row r="162" customFormat="false" ht="15" hidden="false" customHeight="true" outlineLevel="0" collapsed="false">
      <c r="A162" s="21" t="str">
        <f aca="false">IF(C162="","",ROW()-1)</f>
        <v/>
      </c>
      <c r="B162" s="53"/>
      <c r="C162" s="22"/>
      <c r="D162" s="26"/>
    </row>
    <row r="163" customFormat="false" ht="15" hidden="false" customHeight="true" outlineLevel="0" collapsed="false">
      <c r="A163" s="21" t="str">
        <f aca="false">IF(C163="","",ROW()-1)</f>
        <v/>
      </c>
      <c r="B163" s="53"/>
      <c r="C163" s="22"/>
      <c r="D163" s="26"/>
    </row>
    <row r="164" customFormat="false" ht="15" hidden="false" customHeight="true" outlineLevel="0" collapsed="false">
      <c r="A164" s="21" t="str">
        <f aca="false">IF(C164="","",ROW()-1)</f>
        <v/>
      </c>
      <c r="B164" s="53"/>
      <c r="C164" s="22"/>
      <c r="D164" s="26"/>
    </row>
    <row r="165" customFormat="false" ht="15" hidden="false" customHeight="true" outlineLevel="0" collapsed="false">
      <c r="A165" s="21" t="str">
        <f aca="false">IF(C165="","",ROW()-1)</f>
        <v/>
      </c>
      <c r="B165" s="53"/>
      <c r="C165" s="22"/>
      <c r="D165" s="26"/>
    </row>
    <row r="166" customFormat="false" ht="15" hidden="false" customHeight="true" outlineLevel="0" collapsed="false">
      <c r="A166" s="21" t="str">
        <f aca="false">IF(C166="","",ROW()-1)</f>
        <v/>
      </c>
      <c r="B166" s="53"/>
      <c r="C166" s="22"/>
      <c r="D166" s="26"/>
    </row>
    <row r="167" customFormat="false" ht="15" hidden="false" customHeight="true" outlineLevel="0" collapsed="false">
      <c r="A167" s="21" t="str">
        <f aca="false">IF(C167="","",ROW()-1)</f>
        <v/>
      </c>
      <c r="B167" s="53"/>
      <c r="C167" s="22"/>
      <c r="D167" s="26"/>
    </row>
    <row r="168" customFormat="false" ht="15" hidden="false" customHeight="true" outlineLevel="0" collapsed="false">
      <c r="A168" s="21" t="str">
        <f aca="false">IF(C168="","",ROW()-1)</f>
        <v/>
      </c>
      <c r="B168" s="53"/>
      <c r="C168" s="22"/>
      <c r="D168" s="26"/>
    </row>
    <row r="169" customFormat="false" ht="15" hidden="false" customHeight="true" outlineLevel="0" collapsed="false">
      <c r="A169" s="21" t="str">
        <f aca="false">IF(C169="","",ROW()-1)</f>
        <v/>
      </c>
      <c r="B169" s="53"/>
      <c r="C169" s="22"/>
      <c r="D169" s="26"/>
    </row>
    <row r="170" customFormat="false" ht="15" hidden="false" customHeight="true" outlineLevel="0" collapsed="false">
      <c r="A170" s="21" t="str">
        <f aca="false">IF(C170="","",ROW()-1)</f>
        <v/>
      </c>
      <c r="B170" s="53"/>
      <c r="C170" s="22"/>
      <c r="D170" s="26"/>
    </row>
    <row r="171" customFormat="false" ht="15" hidden="false" customHeight="true" outlineLevel="0" collapsed="false">
      <c r="A171" s="21" t="str">
        <f aca="false">IF(C171="","",ROW()-1)</f>
        <v/>
      </c>
      <c r="B171" s="53"/>
      <c r="C171" s="22"/>
      <c r="D171" s="26"/>
    </row>
    <row r="172" customFormat="false" ht="15" hidden="false" customHeight="true" outlineLevel="0" collapsed="false">
      <c r="A172" s="21" t="str">
        <f aca="false">IF(C172="","",ROW()-1)</f>
        <v/>
      </c>
      <c r="B172" s="53"/>
      <c r="C172" s="22"/>
      <c r="D172" s="26"/>
    </row>
    <row r="173" customFormat="false" ht="15" hidden="false" customHeight="true" outlineLevel="0" collapsed="false">
      <c r="A173" s="21" t="str">
        <f aca="false">IF(C173="","",ROW()-1)</f>
        <v/>
      </c>
      <c r="B173" s="53"/>
      <c r="C173" s="22"/>
      <c r="D173" s="26"/>
    </row>
    <row r="174" customFormat="false" ht="15" hidden="false" customHeight="true" outlineLevel="0" collapsed="false">
      <c r="A174" s="21" t="str">
        <f aca="false">IF(C174="","",ROW()-1)</f>
        <v/>
      </c>
      <c r="B174" s="53"/>
      <c r="C174" s="22"/>
      <c r="D174" s="26"/>
    </row>
    <row r="175" customFormat="false" ht="15" hidden="false" customHeight="true" outlineLevel="0" collapsed="false">
      <c r="A175" s="21" t="str">
        <f aca="false">IF(C175="","",ROW()-1)</f>
        <v/>
      </c>
      <c r="B175" s="53"/>
      <c r="C175" s="22"/>
      <c r="D175" s="26"/>
    </row>
    <row r="176" customFormat="false" ht="15" hidden="false" customHeight="true" outlineLevel="0" collapsed="false">
      <c r="A176" s="21" t="str">
        <f aca="false">IF(C176="","",ROW()-1)</f>
        <v/>
      </c>
      <c r="B176" s="53"/>
      <c r="C176" s="22"/>
      <c r="D176" s="26"/>
    </row>
    <row r="177" customFormat="false" ht="15" hidden="false" customHeight="true" outlineLevel="0" collapsed="false">
      <c r="A177" s="21" t="str">
        <f aca="false">IF(C177="","",ROW()-1)</f>
        <v/>
      </c>
      <c r="B177" s="53"/>
      <c r="C177" s="22"/>
      <c r="D177" s="26"/>
    </row>
    <row r="178" customFormat="false" ht="15" hidden="false" customHeight="true" outlineLevel="0" collapsed="false">
      <c r="A178" s="21" t="str">
        <f aca="false">IF(C178="","",ROW()-1)</f>
        <v/>
      </c>
      <c r="B178" s="53"/>
      <c r="C178" s="22"/>
      <c r="D178" s="26"/>
    </row>
    <row r="179" customFormat="false" ht="15" hidden="false" customHeight="true" outlineLevel="0" collapsed="false">
      <c r="A179" s="21" t="str">
        <f aca="false">IF(C179="","",ROW()-1)</f>
        <v/>
      </c>
      <c r="B179" s="53"/>
      <c r="C179" s="22"/>
      <c r="D179" s="26"/>
    </row>
    <row r="180" customFormat="false" ht="15" hidden="false" customHeight="true" outlineLevel="0" collapsed="false">
      <c r="A180" s="21" t="str">
        <f aca="false">IF(C180="","",ROW()-1)</f>
        <v/>
      </c>
      <c r="B180" s="53"/>
      <c r="C180" s="22"/>
      <c r="D180" s="26"/>
    </row>
    <row r="181" customFormat="false" ht="15" hidden="false" customHeight="true" outlineLevel="0" collapsed="false">
      <c r="A181" s="21" t="str">
        <f aca="false">IF(C181="","",ROW()-1)</f>
        <v/>
      </c>
      <c r="B181" s="53"/>
      <c r="C181" s="22"/>
      <c r="D181" s="26"/>
    </row>
    <row r="182" customFormat="false" ht="15" hidden="false" customHeight="true" outlineLevel="0" collapsed="false">
      <c r="A182" s="21" t="str">
        <f aca="false">IF(C182="","",ROW()-1)</f>
        <v/>
      </c>
      <c r="B182" s="53"/>
      <c r="C182" s="22"/>
      <c r="D182" s="26"/>
    </row>
    <row r="183" customFormat="false" ht="15" hidden="false" customHeight="true" outlineLevel="0" collapsed="false">
      <c r="A183" s="21" t="str">
        <f aca="false">IF(C183="","",ROW()-1)</f>
        <v/>
      </c>
      <c r="B183" s="53"/>
      <c r="C183" s="22"/>
      <c r="D183" s="26"/>
    </row>
    <row r="184" customFormat="false" ht="15" hidden="false" customHeight="true" outlineLevel="0" collapsed="false">
      <c r="A184" s="21" t="str">
        <f aca="false">IF(C184="","",ROW()-1)</f>
        <v/>
      </c>
      <c r="B184" s="53"/>
      <c r="C184" s="22"/>
      <c r="D184" s="26"/>
    </row>
    <row r="185" customFormat="false" ht="15" hidden="false" customHeight="true" outlineLevel="0" collapsed="false">
      <c r="A185" s="21" t="str">
        <f aca="false">IF(C185="","",ROW()-1)</f>
        <v/>
      </c>
      <c r="B185" s="53"/>
      <c r="C185" s="22"/>
      <c r="D185" s="26"/>
    </row>
    <row r="186" customFormat="false" ht="15" hidden="false" customHeight="true" outlineLevel="0" collapsed="false">
      <c r="A186" s="21" t="str">
        <f aca="false">IF(C186="","",ROW()-1)</f>
        <v/>
      </c>
      <c r="B186" s="53"/>
      <c r="C186" s="22"/>
      <c r="D186" s="26"/>
    </row>
    <row r="187" customFormat="false" ht="15" hidden="false" customHeight="true" outlineLevel="0" collapsed="false">
      <c r="A187" s="21" t="str">
        <f aca="false">IF(C187="","",ROW()-1)</f>
        <v/>
      </c>
      <c r="B187" s="53"/>
      <c r="C187" s="22"/>
      <c r="D187" s="26"/>
    </row>
    <row r="188" customFormat="false" ht="15" hidden="false" customHeight="true" outlineLevel="0" collapsed="false">
      <c r="A188" s="21" t="str">
        <f aca="false">IF(C188="","",ROW()-1)</f>
        <v/>
      </c>
      <c r="B188" s="53"/>
      <c r="C188" s="22"/>
      <c r="D188" s="26"/>
    </row>
    <row r="189" customFormat="false" ht="15" hidden="false" customHeight="true" outlineLevel="0" collapsed="false">
      <c r="A189" s="21" t="str">
        <f aca="false">IF(C189="","",ROW()-1)</f>
        <v/>
      </c>
      <c r="B189" s="53"/>
      <c r="C189" s="22"/>
      <c r="D189" s="26"/>
    </row>
    <row r="190" customFormat="false" ht="15" hidden="false" customHeight="true" outlineLevel="0" collapsed="false">
      <c r="A190" s="21" t="str">
        <f aca="false">IF(C190="","",ROW()-1)</f>
        <v/>
      </c>
      <c r="B190" s="53"/>
      <c r="C190" s="22"/>
      <c r="D190" s="26"/>
    </row>
    <row r="191" customFormat="false" ht="15" hidden="false" customHeight="true" outlineLevel="0" collapsed="false">
      <c r="A191" s="21" t="str">
        <f aca="false">IF(C191="","",ROW()-1)</f>
        <v/>
      </c>
      <c r="B191" s="53"/>
      <c r="C191" s="22"/>
      <c r="D191" s="26"/>
    </row>
    <row r="192" customFormat="false" ht="15" hidden="false" customHeight="true" outlineLevel="0" collapsed="false">
      <c r="A192" s="21" t="str">
        <f aca="false">IF(C192="","",ROW()-1)</f>
        <v/>
      </c>
      <c r="B192" s="53"/>
      <c r="C192" s="22"/>
      <c r="D192" s="26"/>
    </row>
    <row r="193" customFormat="false" ht="15" hidden="false" customHeight="true" outlineLevel="0" collapsed="false">
      <c r="A193" s="21" t="str">
        <f aca="false">IF(C193="","",ROW()-1)</f>
        <v/>
      </c>
      <c r="B193" s="53"/>
      <c r="C193" s="22"/>
      <c r="D193" s="26"/>
    </row>
    <row r="194" customFormat="false" ht="15" hidden="false" customHeight="true" outlineLevel="0" collapsed="false">
      <c r="A194" s="21" t="str">
        <f aca="false">IF(C194="","",ROW()-1)</f>
        <v/>
      </c>
      <c r="B194" s="53"/>
      <c r="C194" s="22"/>
      <c r="D194" s="26"/>
    </row>
    <row r="195" customFormat="false" ht="15" hidden="false" customHeight="true" outlineLevel="0" collapsed="false">
      <c r="A195" s="21" t="str">
        <f aca="false">IF(C195="","",ROW()-1)</f>
        <v/>
      </c>
      <c r="B195" s="53"/>
      <c r="C195" s="22"/>
      <c r="D195" s="26"/>
    </row>
    <row r="196" customFormat="false" ht="15" hidden="false" customHeight="true" outlineLevel="0" collapsed="false">
      <c r="A196" s="21" t="str">
        <f aca="false">IF(C196="","",ROW()-1)</f>
        <v/>
      </c>
      <c r="B196" s="53"/>
      <c r="C196" s="22"/>
      <c r="D196" s="26"/>
    </row>
    <row r="197" customFormat="false" ht="15" hidden="false" customHeight="true" outlineLevel="0" collapsed="false">
      <c r="A197" s="21" t="str">
        <f aca="false">IF(C197="","",ROW()-1)</f>
        <v/>
      </c>
      <c r="B197" s="53"/>
      <c r="C197" s="22"/>
      <c r="D197" s="26"/>
    </row>
    <row r="198" customFormat="false" ht="15" hidden="false" customHeight="true" outlineLevel="0" collapsed="false">
      <c r="A198" s="21" t="str">
        <f aca="false">IF(C198="","",ROW()-1)</f>
        <v/>
      </c>
      <c r="B198" s="53"/>
      <c r="C198" s="22"/>
      <c r="D198" s="26"/>
    </row>
    <row r="199" customFormat="false" ht="15" hidden="false" customHeight="true" outlineLevel="0" collapsed="false">
      <c r="A199" s="21" t="str">
        <f aca="false">IF(C199="","",ROW()-1)</f>
        <v/>
      </c>
      <c r="B199" s="53"/>
      <c r="C199" s="22"/>
      <c r="D199" s="26"/>
    </row>
    <row r="200" customFormat="false" ht="15" hidden="false" customHeight="true" outlineLevel="0" collapsed="false">
      <c r="A200" s="21" t="str">
        <f aca="false">IF(C200="","",ROW()-1)</f>
        <v/>
      </c>
      <c r="B200" s="53"/>
      <c r="C200" s="22"/>
      <c r="D200" s="26"/>
    </row>
    <row r="201" customFormat="false" ht="15" hidden="false" customHeight="true" outlineLevel="0" collapsed="false">
      <c r="A201" s="21" t="str">
        <f aca="false">IF(C201="","",ROW()-1)</f>
        <v/>
      </c>
      <c r="B201" s="53"/>
      <c r="C201" s="22"/>
      <c r="D201" s="26"/>
    </row>
    <row r="202" customFormat="false" ht="15" hidden="false" customHeight="true" outlineLevel="0" collapsed="false">
      <c r="A202" s="21" t="str">
        <f aca="false">IF(C202="","",ROW()-1)</f>
        <v/>
      </c>
      <c r="B202" s="53"/>
      <c r="C202" s="22"/>
      <c r="D202" s="26"/>
    </row>
    <row r="203" customFormat="false" ht="15" hidden="false" customHeight="true" outlineLevel="0" collapsed="false">
      <c r="A203" s="21" t="str">
        <f aca="false">IF(C203="","",ROW()-1)</f>
        <v/>
      </c>
      <c r="B203" s="53"/>
      <c r="C203" s="22"/>
      <c r="D203" s="26"/>
    </row>
    <row r="204" customFormat="false" ht="15" hidden="false" customHeight="true" outlineLevel="0" collapsed="false">
      <c r="A204" s="21" t="str">
        <f aca="false">IF(C204="","",ROW()-1)</f>
        <v/>
      </c>
      <c r="B204" s="53"/>
      <c r="C204" s="22"/>
      <c r="D204" s="26"/>
    </row>
    <row r="205" customFormat="false" ht="15" hidden="false" customHeight="true" outlineLevel="0" collapsed="false">
      <c r="A205" s="21" t="str">
        <f aca="false">IF(C205="","",ROW()-1)</f>
        <v/>
      </c>
      <c r="B205" s="53"/>
      <c r="C205" s="22"/>
      <c r="D205" s="26"/>
    </row>
    <row r="206" customFormat="false" ht="15" hidden="false" customHeight="true" outlineLevel="0" collapsed="false">
      <c r="A206" s="21" t="str">
        <f aca="false">IF(C206="","",ROW()-1)</f>
        <v/>
      </c>
      <c r="B206" s="53"/>
      <c r="C206" s="22"/>
      <c r="D206" s="26"/>
    </row>
    <row r="207" customFormat="false" ht="15" hidden="false" customHeight="true" outlineLevel="0" collapsed="false">
      <c r="A207" s="21" t="str">
        <f aca="false">IF(C207="","",ROW()-1)</f>
        <v/>
      </c>
      <c r="B207" s="53"/>
      <c r="C207" s="22"/>
      <c r="D207" s="26"/>
    </row>
    <row r="208" customFormat="false" ht="15" hidden="false" customHeight="true" outlineLevel="0" collapsed="false">
      <c r="A208" s="21" t="str">
        <f aca="false">IF(C208="","",ROW()-1)</f>
        <v/>
      </c>
      <c r="B208" s="53"/>
      <c r="C208" s="22"/>
      <c r="D208" s="26"/>
    </row>
    <row r="209" customFormat="false" ht="15" hidden="false" customHeight="true" outlineLevel="0" collapsed="false">
      <c r="A209" s="21" t="str">
        <f aca="false">IF(C209="","",ROW()-1)</f>
        <v/>
      </c>
      <c r="B209" s="53"/>
      <c r="C209" s="22"/>
      <c r="D209" s="26"/>
    </row>
    <row r="210" customFormat="false" ht="15" hidden="false" customHeight="true" outlineLevel="0" collapsed="false">
      <c r="A210" s="21" t="str">
        <f aca="false">IF(C210="","",ROW()-1)</f>
        <v/>
      </c>
      <c r="B210" s="53"/>
      <c r="C210" s="22"/>
      <c r="D210" s="26"/>
    </row>
    <row r="211" customFormat="false" ht="15" hidden="false" customHeight="true" outlineLevel="0" collapsed="false">
      <c r="A211" s="21" t="str">
        <f aca="false">IF(C211="","",ROW()-1)</f>
        <v/>
      </c>
      <c r="B211" s="53"/>
      <c r="C211" s="22"/>
      <c r="D211" s="26"/>
    </row>
    <row r="212" customFormat="false" ht="15" hidden="false" customHeight="true" outlineLevel="0" collapsed="false">
      <c r="A212" s="21" t="str">
        <f aca="false">IF(C212="","",ROW()-1)</f>
        <v/>
      </c>
      <c r="B212" s="53"/>
      <c r="C212" s="22"/>
      <c r="D212" s="26"/>
    </row>
    <row r="213" customFormat="false" ht="15" hidden="false" customHeight="true" outlineLevel="0" collapsed="false">
      <c r="A213" s="21" t="str">
        <f aca="false">IF(C213="","",ROW()-1)</f>
        <v/>
      </c>
      <c r="B213" s="53"/>
      <c r="C213" s="22"/>
      <c r="D213" s="26"/>
    </row>
    <row r="214" customFormat="false" ht="15" hidden="false" customHeight="true" outlineLevel="0" collapsed="false">
      <c r="A214" s="21" t="str">
        <f aca="false">IF(C214="","",ROW()-1)</f>
        <v/>
      </c>
      <c r="B214" s="53"/>
      <c r="C214" s="22"/>
      <c r="D214" s="26"/>
    </row>
    <row r="215" customFormat="false" ht="15" hidden="false" customHeight="true" outlineLevel="0" collapsed="false">
      <c r="A215" s="21" t="str">
        <f aca="false">IF(C215="","",ROW()-1)</f>
        <v/>
      </c>
      <c r="B215" s="53"/>
      <c r="C215" s="22"/>
      <c r="D215" s="26"/>
    </row>
    <row r="216" customFormat="false" ht="15" hidden="false" customHeight="true" outlineLevel="0" collapsed="false">
      <c r="A216" s="21" t="str">
        <f aca="false">IF(C216="","",ROW()-1)</f>
        <v/>
      </c>
      <c r="B216" s="53"/>
      <c r="C216" s="22"/>
      <c r="D216" s="26"/>
    </row>
    <row r="217" customFormat="false" ht="15" hidden="false" customHeight="true" outlineLevel="0" collapsed="false">
      <c r="A217" s="21" t="str">
        <f aca="false">IF(C217="","",ROW()-1)</f>
        <v/>
      </c>
      <c r="B217" s="53"/>
      <c r="C217" s="22"/>
      <c r="D217" s="26"/>
    </row>
    <row r="218" customFormat="false" ht="15" hidden="false" customHeight="true" outlineLevel="0" collapsed="false">
      <c r="A218" s="21" t="str">
        <f aca="false">IF(C218="","",ROW()-1)</f>
        <v/>
      </c>
      <c r="B218" s="53"/>
      <c r="C218" s="22"/>
      <c r="D218" s="26"/>
    </row>
    <row r="219" customFormat="false" ht="15" hidden="false" customHeight="true" outlineLevel="0" collapsed="false">
      <c r="A219" s="21" t="str">
        <f aca="false">IF(C219="","",ROW()-1)</f>
        <v/>
      </c>
      <c r="B219" s="53"/>
      <c r="C219" s="22"/>
      <c r="D219" s="26"/>
    </row>
    <row r="220" customFormat="false" ht="15" hidden="false" customHeight="true" outlineLevel="0" collapsed="false">
      <c r="A220" s="21" t="str">
        <f aca="false">IF(C220="","",ROW()-1)</f>
        <v/>
      </c>
      <c r="B220" s="53"/>
      <c r="C220" s="22"/>
      <c r="D220" s="26"/>
    </row>
    <row r="221" customFormat="false" ht="15" hidden="false" customHeight="true" outlineLevel="0" collapsed="false">
      <c r="A221" s="21" t="str">
        <f aca="false">IF(C221="","",ROW()-1)</f>
        <v/>
      </c>
      <c r="B221" s="53"/>
      <c r="C221" s="22"/>
      <c r="D221" s="26"/>
    </row>
    <row r="222" customFormat="false" ht="15" hidden="false" customHeight="true" outlineLevel="0" collapsed="false">
      <c r="A222" s="21" t="str">
        <f aca="false">IF(C222="","",ROW()-1)</f>
        <v/>
      </c>
      <c r="B222" s="53"/>
      <c r="C222" s="22"/>
      <c r="D222" s="26"/>
    </row>
    <row r="223" customFormat="false" ht="15" hidden="false" customHeight="true" outlineLevel="0" collapsed="false">
      <c r="A223" s="21" t="str">
        <f aca="false">IF(C223="","",ROW()-1)</f>
        <v/>
      </c>
      <c r="B223" s="53"/>
      <c r="C223" s="22"/>
      <c r="D223" s="26"/>
    </row>
    <row r="224" customFormat="false" ht="15" hidden="false" customHeight="true" outlineLevel="0" collapsed="false">
      <c r="A224" s="21" t="str">
        <f aca="false">IF(C224="","",ROW()-1)</f>
        <v/>
      </c>
      <c r="B224" s="53"/>
      <c r="C224" s="22"/>
      <c r="D224" s="26"/>
    </row>
    <row r="225" customFormat="false" ht="15" hidden="false" customHeight="true" outlineLevel="0" collapsed="false">
      <c r="A225" s="21" t="str">
        <f aca="false">IF(C225="","",ROW()-1)</f>
        <v/>
      </c>
      <c r="B225" s="53"/>
      <c r="C225" s="22"/>
      <c r="D225" s="26"/>
    </row>
    <row r="226" customFormat="false" ht="15" hidden="false" customHeight="true" outlineLevel="0" collapsed="false">
      <c r="A226" s="21" t="str">
        <f aca="false">IF(C226="","",ROW()-1)</f>
        <v/>
      </c>
      <c r="B226" s="53"/>
      <c r="C226" s="22"/>
      <c r="D226" s="26"/>
    </row>
    <row r="227" customFormat="false" ht="15" hidden="false" customHeight="true" outlineLevel="0" collapsed="false">
      <c r="A227" s="21" t="str">
        <f aca="false">IF(C227="","",ROW()-1)</f>
        <v/>
      </c>
      <c r="B227" s="53"/>
      <c r="C227" s="22"/>
      <c r="D227" s="26"/>
    </row>
    <row r="228" customFormat="false" ht="15" hidden="false" customHeight="true" outlineLevel="0" collapsed="false">
      <c r="A228" s="21" t="str">
        <f aca="false">IF(C228="","",ROW()-1)</f>
        <v/>
      </c>
      <c r="B228" s="53"/>
      <c r="C228" s="22"/>
      <c r="D228" s="26"/>
    </row>
    <row r="229" customFormat="false" ht="15" hidden="false" customHeight="true" outlineLevel="0" collapsed="false">
      <c r="A229" s="21" t="str">
        <f aca="false">IF(C229="","",ROW()-1)</f>
        <v/>
      </c>
      <c r="B229" s="53"/>
      <c r="C229" s="22"/>
      <c r="D229" s="26"/>
    </row>
    <row r="230" customFormat="false" ht="15" hidden="false" customHeight="true" outlineLevel="0" collapsed="false">
      <c r="A230" s="21" t="str">
        <f aca="false">IF(C230="","",ROW()-1)</f>
        <v/>
      </c>
      <c r="B230" s="53"/>
      <c r="C230" s="22"/>
      <c r="D230" s="26"/>
    </row>
    <row r="231" customFormat="false" ht="15" hidden="false" customHeight="true" outlineLevel="0" collapsed="false">
      <c r="A231" s="21" t="str">
        <f aca="false">IF(C231="","",ROW()-1)</f>
        <v/>
      </c>
      <c r="B231" s="53"/>
      <c r="C231" s="22"/>
      <c r="D231" s="26"/>
    </row>
    <row r="232" customFormat="false" ht="15" hidden="false" customHeight="true" outlineLevel="0" collapsed="false">
      <c r="A232" s="21" t="str">
        <f aca="false">IF(C232="","",ROW()-1)</f>
        <v/>
      </c>
      <c r="B232" s="53"/>
      <c r="C232" s="22"/>
      <c r="D232" s="26"/>
    </row>
    <row r="233" customFormat="false" ht="15" hidden="false" customHeight="true" outlineLevel="0" collapsed="false">
      <c r="A233" s="21" t="str">
        <f aca="false">IF(C233="","",ROW()-1)</f>
        <v/>
      </c>
      <c r="B233" s="53"/>
      <c r="C233" s="22"/>
      <c r="D233" s="26"/>
    </row>
    <row r="234" customFormat="false" ht="15" hidden="false" customHeight="true" outlineLevel="0" collapsed="false">
      <c r="A234" s="21" t="str">
        <f aca="false">IF(C234="","",ROW()-1)</f>
        <v/>
      </c>
      <c r="B234" s="53"/>
      <c r="C234" s="22"/>
      <c r="D234" s="26"/>
    </row>
    <row r="235" customFormat="false" ht="15" hidden="false" customHeight="true" outlineLevel="0" collapsed="false">
      <c r="A235" s="21" t="str">
        <f aca="false">IF(C235="","",ROW()-1)</f>
        <v/>
      </c>
      <c r="B235" s="53"/>
      <c r="C235" s="22"/>
      <c r="D235" s="26"/>
    </row>
    <row r="236" customFormat="false" ht="15" hidden="false" customHeight="true" outlineLevel="0" collapsed="false">
      <c r="A236" s="21" t="str">
        <f aca="false">IF(C236="","",ROW()-1)</f>
        <v/>
      </c>
      <c r="B236" s="53"/>
      <c r="C236" s="22"/>
      <c r="D236" s="26"/>
    </row>
    <row r="237" customFormat="false" ht="15" hidden="false" customHeight="true" outlineLevel="0" collapsed="false">
      <c r="A237" s="21" t="str">
        <f aca="false">IF(C237="","",ROW()-1)</f>
        <v/>
      </c>
      <c r="B237" s="53"/>
      <c r="C237" s="22"/>
      <c r="D237" s="26"/>
    </row>
    <row r="238" customFormat="false" ht="15" hidden="false" customHeight="true" outlineLevel="0" collapsed="false">
      <c r="A238" s="21" t="str">
        <f aca="false">IF(C238="","",ROW()-1)</f>
        <v/>
      </c>
      <c r="B238" s="53"/>
      <c r="C238" s="22"/>
      <c r="D238" s="26"/>
    </row>
    <row r="239" customFormat="false" ht="15" hidden="false" customHeight="true" outlineLevel="0" collapsed="false">
      <c r="A239" s="21" t="str">
        <f aca="false">IF(C239="","",ROW()-1)</f>
        <v/>
      </c>
      <c r="B239" s="53"/>
      <c r="C239" s="22"/>
      <c r="D239" s="26"/>
    </row>
    <row r="240" customFormat="false" ht="15" hidden="false" customHeight="true" outlineLevel="0" collapsed="false">
      <c r="A240" s="21" t="str">
        <f aca="false">IF(C240="","",ROW()-1)</f>
        <v/>
      </c>
      <c r="B240" s="53"/>
      <c r="C240" s="22"/>
      <c r="D240" s="26"/>
    </row>
    <row r="241" customFormat="false" ht="15" hidden="false" customHeight="true" outlineLevel="0" collapsed="false">
      <c r="A241" s="21" t="str">
        <f aca="false">IF(C241="","",ROW()-1)</f>
        <v/>
      </c>
      <c r="B241" s="53"/>
      <c r="C241" s="22"/>
      <c r="D241" s="26"/>
    </row>
    <row r="242" customFormat="false" ht="15" hidden="false" customHeight="true" outlineLevel="0" collapsed="false">
      <c r="A242" s="21" t="str">
        <f aca="false">IF(C242="","",ROW()-1)</f>
        <v/>
      </c>
      <c r="B242" s="53"/>
      <c r="C242" s="22"/>
      <c r="D242" s="26"/>
    </row>
    <row r="243" customFormat="false" ht="15" hidden="false" customHeight="true" outlineLevel="0" collapsed="false">
      <c r="A243" s="21" t="str">
        <f aca="false">IF(C243="","",ROW()-1)</f>
        <v/>
      </c>
      <c r="B243" s="53"/>
      <c r="C243" s="22"/>
      <c r="D243" s="26"/>
    </row>
    <row r="244" customFormat="false" ht="15" hidden="false" customHeight="true" outlineLevel="0" collapsed="false">
      <c r="A244" s="21" t="str">
        <f aca="false">IF(C244="","",ROW()-1)</f>
        <v/>
      </c>
      <c r="B244" s="53"/>
      <c r="C244" s="22"/>
      <c r="D244" s="26"/>
    </row>
    <row r="245" customFormat="false" ht="15" hidden="false" customHeight="true" outlineLevel="0" collapsed="false">
      <c r="A245" s="21" t="str">
        <f aca="false">IF(C245="","",ROW()-1)</f>
        <v/>
      </c>
      <c r="B245" s="53"/>
      <c r="C245" s="22"/>
      <c r="D245" s="26"/>
    </row>
    <row r="246" customFormat="false" ht="15" hidden="false" customHeight="true" outlineLevel="0" collapsed="false">
      <c r="A246" s="21" t="str">
        <f aca="false">IF(C246="","",ROW()-1)</f>
        <v/>
      </c>
      <c r="B246" s="53"/>
      <c r="C246" s="22"/>
      <c r="D246" s="26"/>
    </row>
    <row r="247" customFormat="false" ht="15" hidden="false" customHeight="true" outlineLevel="0" collapsed="false">
      <c r="A247" s="21" t="str">
        <f aca="false">IF(C247="","",ROW()-1)</f>
        <v/>
      </c>
      <c r="B247" s="53"/>
      <c r="C247" s="22"/>
      <c r="D247" s="26"/>
    </row>
    <row r="248" customFormat="false" ht="15" hidden="false" customHeight="true" outlineLevel="0" collapsed="false">
      <c r="A248" s="21" t="str">
        <f aca="false">IF(C248="","",ROW()-1)</f>
        <v/>
      </c>
      <c r="B248" s="53"/>
      <c r="C248" s="22"/>
      <c r="D248" s="26"/>
    </row>
    <row r="249" customFormat="false" ht="15" hidden="false" customHeight="true" outlineLevel="0" collapsed="false">
      <c r="A249" s="21" t="str">
        <f aca="false">IF(C249="","",ROW()-1)</f>
        <v/>
      </c>
      <c r="B249" s="53"/>
      <c r="C249" s="22"/>
      <c r="D249" s="26"/>
    </row>
    <row r="250" customFormat="false" ht="15" hidden="false" customHeight="true" outlineLevel="0" collapsed="false">
      <c r="A250" s="21" t="str">
        <f aca="false">IF(C250="","",ROW()-1)</f>
        <v/>
      </c>
      <c r="B250" s="53"/>
      <c r="C250" s="22"/>
      <c r="D250" s="26"/>
    </row>
    <row r="251" customFormat="false" ht="15" hidden="false" customHeight="true" outlineLevel="0" collapsed="false">
      <c r="A251" s="21" t="str">
        <f aca="false">IF(C251="","",ROW()-1)</f>
        <v/>
      </c>
      <c r="B251" s="53"/>
      <c r="C251" s="22"/>
      <c r="D251" s="26"/>
    </row>
    <row r="252" customFormat="false" ht="15" hidden="false" customHeight="true" outlineLevel="0" collapsed="false">
      <c r="A252" s="21" t="str">
        <f aca="false">IF(C252="","",ROW()-1)</f>
        <v/>
      </c>
      <c r="B252" s="53"/>
      <c r="C252" s="22"/>
      <c r="D252" s="26"/>
    </row>
    <row r="253" customFormat="false" ht="15" hidden="false" customHeight="true" outlineLevel="0" collapsed="false">
      <c r="A253" s="21" t="str">
        <f aca="false">IF(C253="","",ROW()-1)</f>
        <v/>
      </c>
      <c r="B253" s="53"/>
      <c r="C253" s="22"/>
      <c r="D253" s="26"/>
    </row>
    <row r="254" customFormat="false" ht="15" hidden="false" customHeight="true" outlineLevel="0" collapsed="false">
      <c r="A254" s="21" t="str">
        <f aca="false">IF(C254="","",ROW()-1)</f>
        <v/>
      </c>
      <c r="B254" s="53"/>
      <c r="C254" s="22"/>
      <c r="D254" s="26"/>
    </row>
    <row r="255" customFormat="false" ht="15" hidden="false" customHeight="true" outlineLevel="0" collapsed="false">
      <c r="A255" s="21" t="str">
        <f aca="false">IF(C255="","",ROW()-1)</f>
        <v/>
      </c>
      <c r="B255" s="53"/>
      <c r="C255" s="22"/>
      <c r="D255" s="26"/>
    </row>
    <row r="256" customFormat="false" ht="15" hidden="false" customHeight="true" outlineLevel="0" collapsed="false">
      <c r="A256" s="21" t="str">
        <f aca="false">IF(C256="","",ROW()-1)</f>
        <v/>
      </c>
      <c r="B256" s="53"/>
      <c r="C256" s="22"/>
      <c r="D256" s="26"/>
    </row>
    <row r="257" customFormat="false" ht="15" hidden="false" customHeight="true" outlineLevel="0" collapsed="false">
      <c r="A257" s="21" t="str">
        <f aca="false">IF(C257="","",ROW()-1)</f>
        <v/>
      </c>
      <c r="B257" s="53"/>
      <c r="C257" s="22"/>
      <c r="D257" s="26"/>
    </row>
    <row r="258" customFormat="false" ht="15" hidden="false" customHeight="true" outlineLevel="0" collapsed="false">
      <c r="A258" s="21" t="str">
        <f aca="false">IF(C258="","",ROW()-1)</f>
        <v/>
      </c>
      <c r="B258" s="53"/>
      <c r="C258" s="22"/>
      <c r="D258" s="26"/>
    </row>
    <row r="259" customFormat="false" ht="15" hidden="false" customHeight="true" outlineLevel="0" collapsed="false">
      <c r="A259" s="21" t="str">
        <f aca="false">IF(C259="","",ROW()-1)</f>
        <v/>
      </c>
      <c r="B259" s="53"/>
      <c r="C259" s="22"/>
      <c r="D259" s="26"/>
    </row>
    <row r="260" customFormat="false" ht="15" hidden="false" customHeight="true" outlineLevel="0" collapsed="false">
      <c r="A260" s="21" t="str">
        <f aca="false">IF(C260="","",ROW()-1)</f>
        <v/>
      </c>
      <c r="B260" s="53"/>
      <c r="C260" s="22"/>
      <c r="D260" s="26"/>
    </row>
    <row r="261" customFormat="false" ht="15" hidden="false" customHeight="true" outlineLevel="0" collapsed="false">
      <c r="A261" s="21" t="str">
        <f aca="false">IF(C261="","",ROW()-1)</f>
        <v/>
      </c>
      <c r="B261" s="53"/>
      <c r="C261" s="22"/>
      <c r="D261" s="26"/>
    </row>
    <row r="262" customFormat="false" ht="15" hidden="false" customHeight="true" outlineLevel="0" collapsed="false">
      <c r="A262" s="21" t="str">
        <f aca="false">IF(C262="","",ROW()-1)</f>
        <v/>
      </c>
      <c r="B262" s="53"/>
      <c r="C262" s="22"/>
      <c r="D262" s="26"/>
    </row>
    <row r="263" customFormat="false" ht="15" hidden="false" customHeight="true" outlineLevel="0" collapsed="false">
      <c r="A263" s="21" t="str">
        <f aca="false">IF(C263="","",ROW()-1)</f>
        <v/>
      </c>
      <c r="B263" s="53"/>
      <c r="C263" s="22"/>
      <c r="D263" s="26"/>
    </row>
    <row r="264" customFormat="false" ht="15" hidden="false" customHeight="true" outlineLevel="0" collapsed="false">
      <c r="A264" s="21" t="str">
        <f aca="false">IF(C264="","",ROW()-1)</f>
        <v/>
      </c>
      <c r="B264" s="53"/>
      <c r="C264" s="22"/>
      <c r="D264" s="26"/>
    </row>
    <row r="265" customFormat="false" ht="15" hidden="false" customHeight="true" outlineLevel="0" collapsed="false">
      <c r="A265" s="21" t="str">
        <f aca="false">IF(C265="","",ROW()-1)</f>
        <v/>
      </c>
      <c r="B265" s="53"/>
      <c r="C265" s="22"/>
      <c r="D265" s="26"/>
    </row>
    <row r="266" customFormat="false" ht="15" hidden="false" customHeight="true" outlineLevel="0" collapsed="false">
      <c r="A266" s="21" t="str">
        <f aca="false">IF(C266="","",ROW()-1)</f>
        <v/>
      </c>
      <c r="B266" s="53"/>
      <c r="C266" s="22"/>
      <c r="D266" s="26"/>
    </row>
    <row r="267" customFormat="false" ht="15" hidden="false" customHeight="true" outlineLevel="0" collapsed="false">
      <c r="A267" s="21" t="str">
        <f aca="false">IF(C267="","",ROW()-1)</f>
        <v/>
      </c>
      <c r="B267" s="53"/>
      <c r="C267" s="22"/>
      <c r="D267" s="26"/>
    </row>
    <row r="268" customFormat="false" ht="15" hidden="false" customHeight="true" outlineLevel="0" collapsed="false">
      <c r="A268" s="21" t="str">
        <f aca="false">IF(C268="","",ROW()-1)</f>
        <v/>
      </c>
      <c r="B268" s="53"/>
      <c r="C268" s="22"/>
      <c r="D268" s="26"/>
    </row>
    <row r="269" customFormat="false" ht="15" hidden="false" customHeight="true" outlineLevel="0" collapsed="false">
      <c r="A269" s="21" t="str">
        <f aca="false">IF(C269="","",ROW()-1)</f>
        <v/>
      </c>
      <c r="B269" s="53"/>
      <c r="C269" s="22"/>
      <c r="D269" s="26"/>
    </row>
    <row r="270" customFormat="false" ht="15" hidden="false" customHeight="true" outlineLevel="0" collapsed="false">
      <c r="A270" s="21" t="str">
        <f aca="false">IF(C270="","",ROW()-1)</f>
        <v/>
      </c>
      <c r="B270" s="53"/>
      <c r="C270" s="22"/>
      <c r="D270" s="26"/>
    </row>
    <row r="271" customFormat="false" ht="15" hidden="false" customHeight="true" outlineLevel="0" collapsed="false">
      <c r="A271" s="21" t="str">
        <f aca="false">IF(C271="","",ROW()-1)</f>
        <v/>
      </c>
      <c r="B271" s="53"/>
      <c r="C271" s="22"/>
      <c r="D271" s="26"/>
    </row>
    <row r="272" customFormat="false" ht="15" hidden="false" customHeight="true" outlineLevel="0" collapsed="false">
      <c r="A272" s="21" t="str">
        <f aca="false">IF(C272="","",ROW()-1)</f>
        <v/>
      </c>
      <c r="B272" s="53"/>
      <c r="C272" s="22"/>
      <c r="D272" s="26"/>
    </row>
    <row r="273" customFormat="false" ht="15" hidden="false" customHeight="true" outlineLevel="0" collapsed="false">
      <c r="A273" s="21" t="str">
        <f aca="false">IF(C273="","",ROW()-1)</f>
        <v/>
      </c>
      <c r="B273" s="53"/>
      <c r="C273" s="22"/>
      <c r="D273" s="26"/>
    </row>
    <row r="274" customFormat="false" ht="15" hidden="false" customHeight="true" outlineLevel="0" collapsed="false">
      <c r="A274" s="21" t="str">
        <f aca="false">IF(C274="","",ROW()-1)</f>
        <v/>
      </c>
      <c r="B274" s="53"/>
      <c r="C274" s="22"/>
      <c r="D274" s="26"/>
    </row>
    <row r="275" customFormat="false" ht="15" hidden="false" customHeight="true" outlineLevel="0" collapsed="false">
      <c r="A275" s="21" t="str">
        <f aca="false">IF(C275="","",ROW()-1)</f>
        <v/>
      </c>
      <c r="B275" s="53"/>
      <c r="C275" s="22"/>
      <c r="D275" s="26"/>
    </row>
    <row r="276" customFormat="false" ht="15" hidden="false" customHeight="true" outlineLevel="0" collapsed="false">
      <c r="A276" s="21" t="str">
        <f aca="false">IF(C276="","",ROW()-1)</f>
        <v/>
      </c>
      <c r="B276" s="53"/>
      <c r="C276" s="22"/>
      <c r="D276" s="26"/>
    </row>
    <row r="277" customFormat="false" ht="15" hidden="false" customHeight="true" outlineLevel="0" collapsed="false">
      <c r="A277" s="21" t="str">
        <f aca="false">IF(C277="","",ROW()-1)</f>
        <v/>
      </c>
      <c r="B277" s="53"/>
      <c r="C277" s="22"/>
      <c r="D277" s="26"/>
    </row>
    <row r="278" customFormat="false" ht="15" hidden="false" customHeight="true" outlineLevel="0" collapsed="false">
      <c r="A278" s="21" t="str">
        <f aca="false">IF(C278="","",ROW()-1)</f>
        <v/>
      </c>
      <c r="B278" s="53"/>
      <c r="C278" s="22"/>
      <c r="D278" s="26"/>
    </row>
    <row r="279" customFormat="false" ht="15" hidden="false" customHeight="true" outlineLevel="0" collapsed="false">
      <c r="A279" s="21" t="str">
        <f aca="false">IF(C279="","",ROW()-1)</f>
        <v/>
      </c>
      <c r="B279" s="53"/>
      <c r="C279" s="22"/>
      <c r="D279" s="26"/>
    </row>
    <row r="280" customFormat="false" ht="15" hidden="false" customHeight="true" outlineLevel="0" collapsed="false">
      <c r="A280" s="21" t="str">
        <f aca="false">IF(C280="","",ROW()-1)</f>
        <v/>
      </c>
      <c r="B280" s="53"/>
      <c r="C280" s="22"/>
      <c r="D280" s="26"/>
    </row>
    <row r="281" customFormat="false" ht="15" hidden="false" customHeight="true" outlineLevel="0" collapsed="false">
      <c r="A281" s="21" t="str">
        <f aca="false">IF(C281="","",ROW()-1)</f>
        <v/>
      </c>
      <c r="B281" s="53"/>
      <c r="C281" s="22"/>
      <c r="D281" s="26"/>
    </row>
    <row r="282" customFormat="false" ht="15" hidden="false" customHeight="true" outlineLevel="0" collapsed="false">
      <c r="A282" s="21" t="str">
        <f aca="false">IF(C282="","",ROW()-1)</f>
        <v/>
      </c>
      <c r="B282" s="53"/>
      <c r="C282" s="22"/>
      <c r="D282" s="26"/>
    </row>
    <row r="283" customFormat="false" ht="15" hidden="false" customHeight="true" outlineLevel="0" collapsed="false">
      <c r="A283" s="21" t="str">
        <f aca="false">IF(C283="","",ROW()-1)</f>
        <v/>
      </c>
      <c r="B283" s="53"/>
      <c r="C283" s="22"/>
      <c r="D283" s="26"/>
    </row>
    <row r="284" customFormat="false" ht="15" hidden="false" customHeight="true" outlineLevel="0" collapsed="false">
      <c r="A284" s="21" t="str">
        <f aca="false">IF(C284="","",ROW()-1)</f>
        <v/>
      </c>
      <c r="B284" s="53"/>
      <c r="C284" s="22"/>
      <c r="D284" s="26"/>
    </row>
    <row r="285" customFormat="false" ht="15" hidden="false" customHeight="true" outlineLevel="0" collapsed="false">
      <c r="A285" s="21" t="str">
        <f aca="false">IF(C285="","",ROW()-1)</f>
        <v/>
      </c>
      <c r="B285" s="53"/>
      <c r="C285" s="22"/>
      <c r="D285" s="26"/>
    </row>
    <row r="286" customFormat="false" ht="15" hidden="false" customHeight="true" outlineLevel="0" collapsed="false">
      <c r="A286" s="21" t="str">
        <f aca="false">IF(C286="","",ROW()-1)</f>
        <v/>
      </c>
      <c r="B286" s="53"/>
      <c r="C286" s="22"/>
      <c r="D286" s="26"/>
    </row>
    <row r="287" customFormat="false" ht="15" hidden="false" customHeight="true" outlineLevel="0" collapsed="false">
      <c r="A287" s="21" t="str">
        <f aca="false">IF(C287="","",ROW()-1)</f>
        <v/>
      </c>
      <c r="B287" s="53"/>
      <c r="C287" s="22"/>
      <c r="D287" s="26"/>
    </row>
    <row r="288" customFormat="false" ht="15" hidden="false" customHeight="true" outlineLevel="0" collapsed="false">
      <c r="A288" s="21" t="str">
        <f aca="false">IF(C288="","",ROW()-1)</f>
        <v/>
      </c>
      <c r="B288" s="53"/>
      <c r="C288" s="22"/>
      <c r="D288" s="26"/>
    </row>
    <row r="289" customFormat="false" ht="15" hidden="false" customHeight="true" outlineLevel="0" collapsed="false">
      <c r="A289" s="21" t="str">
        <f aca="false">IF(C289="","",ROW()-1)</f>
        <v/>
      </c>
      <c r="B289" s="53"/>
      <c r="C289" s="22"/>
      <c r="D289" s="26"/>
    </row>
    <row r="290" customFormat="false" ht="15" hidden="false" customHeight="true" outlineLevel="0" collapsed="false">
      <c r="A290" s="21" t="str">
        <f aca="false">IF(C290="","",ROW()-1)</f>
        <v/>
      </c>
      <c r="B290" s="53"/>
      <c r="C290" s="22"/>
      <c r="D290" s="26"/>
    </row>
    <row r="291" customFormat="false" ht="15" hidden="false" customHeight="true" outlineLevel="0" collapsed="false">
      <c r="A291" s="21" t="str">
        <f aca="false">IF(C291="","",ROW()-1)</f>
        <v/>
      </c>
      <c r="B291" s="53"/>
      <c r="C291" s="22"/>
      <c r="D291" s="26"/>
    </row>
    <row r="292" customFormat="false" ht="15" hidden="false" customHeight="true" outlineLevel="0" collapsed="false">
      <c r="A292" s="21" t="str">
        <f aca="false">IF(C292="","",ROW()-1)</f>
        <v/>
      </c>
      <c r="B292" s="53"/>
      <c r="C292" s="22"/>
      <c r="D292" s="26"/>
    </row>
    <row r="293" customFormat="false" ht="15" hidden="false" customHeight="true" outlineLevel="0" collapsed="false">
      <c r="A293" s="21" t="str">
        <f aca="false">IF(C293="","",ROW()-1)</f>
        <v/>
      </c>
      <c r="B293" s="53"/>
      <c r="C293" s="22"/>
      <c r="D293" s="26"/>
    </row>
    <row r="294" customFormat="false" ht="15" hidden="false" customHeight="true" outlineLevel="0" collapsed="false">
      <c r="A294" s="21" t="str">
        <f aca="false">IF(C294="","",ROW()-1)</f>
        <v/>
      </c>
      <c r="B294" s="53"/>
      <c r="C294" s="22"/>
      <c r="D294" s="26"/>
    </row>
    <row r="295" customFormat="false" ht="15" hidden="false" customHeight="true" outlineLevel="0" collapsed="false">
      <c r="A295" s="21" t="str">
        <f aca="false">IF(C295="","",ROW()-1)</f>
        <v/>
      </c>
      <c r="B295" s="53"/>
      <c r="C295" s="22"/>
      <c r="D295" s="26"/>
    </row>
    <row r="296" customFormat="false" ht="15" hidden="false" customHeight="true" outlineLevel="0" collapsed="false">
      <c r="A296" s="21" t="str">
        <f aca="false">IF(C296="","",ROW()-1)</f>
        <v/>
      </c>
      <c r="B296" s="53"/>
      <c r="C296" s="22"/>
      <c r="D296" s="26"/>
    </row>
    <row r="297" customFormat="false" ht="15" hidden="false" customHeight="true" outlineLevel="0" collapsed="false">
      <c r="A297" s="21" t="str">
        <f aca="false">IF(C297="","",ROW()-1)</f>
        <v/>
      </c>
      <c r="B297" s="53"/>
      <c r="C297" s="22"/>
      <c r="D297" s="26"/>
    </row>
    <row r="298" customFormat="false" ht="15" hidden="false" customHeight="true" outlineLevel="0" collapsed="false">
      <c r="A298" s="21" t="str">
        <f aca="false">IF(C298="","",ROW()-1)</f>
        <v/>
      </c>
      <c r="B298" s="53"/>
      <c r="C298" s="22"/>
      <c r="D298" s="26"/>
    </row>
    <row r="299" customFormat="false" ht="15" hidden="false" customHeight="true" outlineLevel="0" collapsed="false">
      <c r="A299" s="21" t="str">
        <f aca="false">IF(C299="","",ROW()-1)</f>
        <v/>
      </c>
      <c r="B299" s="53"/>
      <c r="C299" s="22"/>
      <c r="D299" s="26"/>
    </row>
    <row r="300" customFormat="false" ht="15" hidden="false" customHeight="true" outlineLevel="0" collapsed="false">
      <c r="A300" s="21" t="str">
        <f aca="false">IF(C300="","",ROW()-1)</f>
        <v/>
      </c>
      <c r="B300" s="53"/>
      <c r="C300" s="22"/>
      <c r="D300" s="26"/>
    </row>
    <row r="301" customFormat="false" ht="15" hidden="false" customHeight="true" outlineLevel="0" collapsed="false">
      <c r="A301" s="21" t="str">
        <f aca="false">IF(C301="","",ROW()-1)</f>
        <v/>
      </c>
      <c r="B301" s="53"/>
      <c r="C301" s="22"/>
      <c r="D301" s="26"/>
    </row>
    <row r="303" customFormat="false" ht="15" hidden="false" customHeight="true" outlineLevel="0" collapsed="false">
      <c r="A303" s="64"/>
      <c r="B303" s="64"/>
      <c r="C303" s="64" t="s">
        <v>109</v>
      </c>
      <c r="D303" s="65" t="n">
        <f aca="false">SUM(D2:D301)</f>
        <v>0</v>
      </c>
    </row>
  </sheetData>
  <conditionalFormatting sqref="A2:D301">
    <cfRule type="expression" priority="2" aboveAverage="0" equalAverage="0" bottom="0" percent="0" rank="0" text="" dxfId="13">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2026-07-17T00:28:08Z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