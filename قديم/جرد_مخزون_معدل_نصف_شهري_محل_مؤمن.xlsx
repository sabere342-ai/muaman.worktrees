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الملخص" sheetId="1" state="visible" r:id="rId3"/>
    <sheet name="جرد المخزون" sheetId="2" state="visible" r:id="rId4"/>
    <sheet name="الأصناف المنتهية" sheetId="3" state="visible" r:id="rId5"/>
    <sheet name="فواتير جديدة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<sst xmlns="http://schemas.openxmlformats.org/spreadsheetml/2006/main" count="244" uniqueCount="205">
  <si>
    <t xml:space="preserve">ملخص الجرد النصف شهري</t>
  </si>
  <si>
    <t xml:space="preserve">محل مؤمن - كل الأرقام مرتبطة تلقائيًا بشيتات الجرد والمنتهي والفواتير الجديدة</t>
  </si>
  <si>
    <t xml:space="preserve">بيانات الجرد</t>
  </si>
  <si>
    <t xml:space="preserve">عدد الأصناف المسجلة</t>
  </si>
  <si>
    <t xml:space="preserve">إجمالي الكمية بالنظام</t>
  </si>
  <si>
    <t xml:space="preserve">إجمالي الكمية الفعلية المجرودة</t>
  </si>
  <si>
    <t xml:space="preserve">صافي الفرق (عجز/زيادة) بالقطع</t>
  </si>
  <si>
    <t xml:space="preserve">قيمة الفرق الإجمالية (تكلفة)</t>
  </si>
  <si>
    <t xml:space="preserve">عدد الأصناف التي بها عجز</t>
  </si>
  <si>
    <t xml:space="preserve">عدد الأصناف التي بها زيادة</t>
  </si>
  <si>
    <t xml:space="preserve">عدد الأصناف المطابقة</t>
  </si>
  <si>
    <t xml:space="preserve">عدد الأصناف التي لم تُجرد بعد</t>
  </si>
  <si>
    <t xml:space="preserve">الأصناف المنتهية / التالفة</t>
  </si>
  <si>
    <t xml:space="preserve">عدد الأصناف المنتهية</t>
  </si>
  <si>
    <t xml:space="preserve">قيمة الفاقد بسبب الانتهاء</t>
  </si>
  <si>
    <t xml:space="preserve">الفواتير الجديدة</t>
  </si>
  <si>
    <t xml:space="preserve">إجمالي كمية المشتريات الجديدة</t>
  </si>
  <si>
    <t xml:space="preserve">إجمالي قيمة فواتير المشتريات الجديدة</t>
  </si>
  <si>
    <t xml:space="preserve">الوضع النهائي بعد الجرد</t>
  </si>
  <si>
    <t xml:space="preserve">صافي قيمة المخزون بعد التعديل</t>
  </si>
  <si>
    <t xml:space="preserve">جرد مخزون نصف شهري</t>
  </si>
  <si>
    <t xml:space="preserve">محل مؤمن - أدخل الكمية الفعلية فقط في العمود الأصفر بعد العد الفعلي بالمحل</t>
  </si>
  <si>
    <t xml:space="preserve">م</t>
  </si>
  <si>
    <t xml:space="preserve">اسم المنتج</t>
  </si>
  <si>
    <t xml:space="preserve">الباركود</t>
  </si>
  <si>
    <t xml:space="preserve">الكمية بالنظام</t>
  </si>
  <si>
    <t xml:space="preserve">الكمية الفعلية (بالجرد)</t>
  </si>
  <si>
    <t xml:space="preserve">الفرق</t>
  </si>
  <si>
    <t xml:space="preserve">الحالة</t>
  </si>
  <si>
    <t xml:space="preserve">سعر التكلفة</t>
  </si>
  <si>
    <t xml:space="preserve">قيمة الفرق</t>
  </si>
  <si>
    <t xml:space="preserve">ملاحظات</t>
  </si>
  <si>
    <t xml:space="preserve">الرصيد الافتتاحي</t>
  </si>
  <si>
    <t xml:space="preserve">تي شيرت 2سوستة تركي</t>
  </si>
  <si>
    <t xml:space="preserve">2000000000001</t>
  </si>
  <si>
    <t xml:space="preserve">تي شيرت بلانكو قصات</t>
  </si>
  <si>
    <t xml:space="preserve">2000000000002</t>
  </si>
  <si>
    <t xml:space="preserve">تي شيرت حورس طباعة فوم</t>
  </si>
  <si>
    <t xml:space="preserve">2000000000003</t>
  </si>
  <si>
    <t xml:space="preserve">تي شيرت كويك</t>
  </si>
  <si>
    <t xml:space="preserve">2000000000004</t>
  </si>
  <si>
    <t xml:space="preserve">تي شيرت وولف سادة</t>
  </si>
  <si>
    <t xml:space="preserve">2000000000005</t>
  </si>
  <si>
    <t xml:space="preserve">تي شيرت اليفين</t>
  </si>
  <si>
    <t xml:space="preserve">2000000000006</t>
  </si>
  <si>
    <t xml:space="preserve">تي شيرت ترند تريكو</t>
  </si>
  <si>
    <t xml:space="preserve">2000000000007</t>
  </si>
  <si>
    <t xml:space="preserve">تي شيرت بليزي</t>
  </si>
  <si>
    <t xml:space="preserve">2000000000008</t>
  </si>
  <si>
    <t xml:space="preserve">تي شيرت كراش</t>
  </si>
  <si>
    <t xml:space="preserve">2000000000009</t>
  </si>
  <si>
    <t xml:space="preserve">تي شيرت ياقة نور</t>
  </si>
  <si>
    <t xml:space="preserve">2000000000010</t>
  </si>
  <si>
    <t xml:space="preserve">تي شيرت فيو مخربش</t>
  </si>
  <si>
    <t xml:space="preserve">2000000000011</t>
  </si>
  <si>
    <t xml:space="preserve">تي شيرت ياقة عجينة</t>
  </si>
  <si>
    <t xml:space="preserve">2000000000012</t>
  </si>
  <si>
    <t xml:space="preserve">تي شيرت ياقة فولكفر فيندي</t>
  </si>
  <si>
    <t xml:space="preserve">2000000000013</t>
  </si>
  <si>
    <t xml:space="preserve">تي شيرت جولدن بوي ديور</t>
  </si>
  <si>
    <t xml:space="preserve">2000000000014</t>
  </si>
  <si>
    <t xml:space="preserve">تي شيرت ديور باريس</t>
  </si>
  <si>
    <t xml:space="preserve">2000000000015</t>
  </si>
  <si>
    <t xml:space="preserve">تي شيرت ياقة امريكان ايجل مونك</t>
  </si>
  <si>
    <t xml:space="preserve">2000000000016</t>
  </si>
  <si>
    <t xml:space="preserve">تي شيرت مقلم عرض</t>
  </si>
  <si>
    <t xml:space="preserve">2000000000017</t>
  </si>
  <si>
    <t xml:space="preserve">تي شيرت فري كم</t>
  </si>
  <si>
    <t xml:space="preserve">2000000000018</t>
  </si>
  <si>
    <t xml:space="preserve">تي شيرت ليمون</t>
  </si>
  <si>
    <t xml:space="preserve">2000000000019</t>
  </si>
  <si>
    <t xml:space="preserve">تي شيرت فولكفر ديور</t>
  </si>
  <si>
    <t xml:space="preserve">2000000000020</t>
  </si>
  <si>
    <t xml:space="preserve">هودي 2سوستة شتوي</t>
  </si>
  <si>
    <t xml:space="preserve">2000000000021</t>
  </si>
  <si>
    <t xml:space="preserve">تي شيرت بلانكو جديد</t>
  </si>
  <si>
    <t xml:space="preserve">2000000000022</t>
  </si>
  <si>
    <t xml:space="preserve">تي شيرت فري عرض</t>
  </si>
  <si>
    <t xml:space="preserve">2000000000023</t>
  </si>
  <si>
    <t xml:space="preserve">تي شيرت فري جلد</t>
  </si>
  <si>
    <t xml:space="preserve">2000000000024</t>
  </si>
  <si>
    <t xml:space="preserve">تي شيرت فري طباعة رابر</t>
  </si>
  <si>
    <t xml:space="preserve">2000000000025</t>
  </si>
  <si>
    <t xml:space="preserve">كات فري</t>
  </si>
  <si>
    <t xml:space="preserve">2000000000026</t>
  </si>
  <si>
    <t xml:space="preserve">كات BOSS</t>
  </si>
  <si>
    <t xml:space="preserve">2000000000027</t>
  </si>
  <si>
    <t xml:space="preserve">تي شيرت صيني</t>
  </si>
  <si>
    <t xml:space="preserve">2000000000028</t>
  </si>
  <si>
    <t xml:space="preserve">تي شيرت دبل فيس</t>
  </si>
  <si>
    <t xml:space="preserve">2000000000029</t>
  </si>
  <si>
    <t xml:space="preserve">سوت تي شيرت كابو</t>
  </si>
  <si>
    <t xml:space="preserve">2000000000030</t>
  </si>
  <si>
    <t xml:space="preserve">سوت كتان كم</t>
  </si>
  <si>
    <t xml:space="preserve">2000000000031</t>
  </si>
  <si>
    <t xml:space="preserve">سوت كتان نص كم</t>
  </si>
  <si>
    <t xml:space="preserve">2000000000032</t>
  </si>
  <si>
    <t xml:space="preserve">قميص كوريشة</t>
  </si>
  <si>
    <t xml:space="preserve">2000000000033</t>
  </si>
  <si>
    <t xml:space="preserve">قميص سبرينج سادة</t>
  </si>
  <si>
    <t xml:space="preserve">2000000000034</t>
  </si>
  <si>
    <t xml:space="preserve">قميص كتان</t>
  </si>
  <si>
    <t xml:space="preserve">2000000000035</t>
  </si>
  <si>
    <t xml:space="preserve">قميص جينز تقيل سبرينج</t>
  </si>
  <si>
    <t xml:space="preserve">2000000000036</t>
  </si>
  <si>
    <t xml:space="preserve">قميص امريكان ايجل جينز</t>
  </si>
  <si>
    <t xml:space="preserve">2000000000037</t>
  </si>
  <si>
    <t xml:space="preserve">قميص كامب جينز</t>
  </si>
  <si>
    <t xml:space="preserve">2000000000038</t>
  </si>
  <si>
    <t xml:space="preserve">قميص حربي</t>
  </si>
  <si>
    <t xml:space="preserve">2000000000039</t>
  </si>
  <si>
    <t xml:space="preserve">جبردين استك ZARA</t>
  </si>
  <si>
    <t xml:space="preserve">2000000000040</t>
  </si>
  <si>
    <t xml:space="preserve">سوفت CABO</t>
  </si>
  <si>
    <t xml:space="preserve">2000000000041</t>
  </si>
  <si>
    <t xml:space="preserve">شروال جبردين VEGAS</t>
  </si>
  <si>
    <t xml:space="preserve">2000000000042</t>
  </si>
  <si>
    <t xml:space="preserve">شروال القنطرة</t>
  </si>
  <si>
    <t xml:space="preserve">2000000000043</t>
  </si>
  <si>
    <t xml:space="preserve">جوستافو LINE3</t>
  </si>
  <si>
    <t xml:space="preserve">2000000000044</t>
  </si>
  <si>
    <t xml:space="preserve">جوستافو رمادي</t>
  </si>
  <si>
    <t xml:space="preserve">2000000000045</t>
  </si>
  <si>
    <t xml:space="preserve">جوستافو استك</t>
  </si>
  <si>
    <t xml:space="preserve">2000000000046</t>
  </si>
  <si>
    <t xml:space="preserve">شروال كلاسيك</t>
  </si>
  <si>
    <t xml:space="preserve">2000000000047</t>
  </si>
  <si>
    <t xml:space="preserve">شروال جبردين BOSS</t>
  </si>
  <si>
    <t xml:space="preserve">2000000000048</t>
  </si>
  <si>
    <t xml:space="preserve">كارجو جينز</t>
  </si>
  <si>
    <t xml:space="preserve">2000000000049</t>
  </si>
  <si>
    <t xml:space="preserve">ريلاكسيد نحاسي</t>
  </si>
  <si>
    <t xml:space="preserve">2000000000050</t>
  </si>
  <si>
    <t xml:space="preserve">وايد ليج كاتنج</t>
  </si>
  <si>
    <t xml:space="preserve">2000000000051</t>
  </si>
  <si>
    <t xml:space="preserve">دريب</t>
  </si>
  <si>
    <t xml:space="preserve">2000000000052</t>
  </si>
  <si>
    <t xml:space="preserve">وايد ليج ديزل</t>
  </si>
  <si>
    <t xml:space="preserve">2000000000053</t>
  </si>
  <si>
    <t xml:space="preserve">بلولاين جي بي اس جديد</t>
  </si>
  <si>
    <t xml:space="preserve">2000000000054</t>
  </si>
  <si>
    <t xml:space="preserve">جينز جيب سيليكون</t>
  </si>
  <si>
    <t xml:space="preserve">2000000000055</t>
  </si>
  <si>
    <t xml:space="preserve">جينز جيب تطريز بي</t>
  </si>
  <si>
    <t xml:space="preserve">2000000000056</t>
  </si>
  <si>
    <t xml:space="preserve">وايد ليج سادة</t>
  </si>
  <si>
    <t xml:space="preserve">2000000000057</t>
  </si>
  <si>
    <t xml:space="preserve">بوي فريند حبل</t>
  </si>
  <si>
    <t xml:space="preserve">2000000000058</t>
  </si>
  <si>
    <t xml:space="preserve">بوي فريند حزام</t>
  </si>
  <si>
    <t xml:space="preserve">2000000000059</t>
  </si>
  <si>
    <t xml:space="preserve">بلولاين القنطرة</t>
  </si>
  <si>
    <t xml:space="preserve">2000000000060</t>
  </si>
  <si>
    <t xml:space="preserve">جينز اكس ثري</t>
  </si>
  <si>
    <t xml:space="preserve">2000000000061</t>
  </si>
  <si>
    <t xml:space="preserve">بدي قصة</t>
  </si>
  <si>
    <t xml:space="preserve">2000000000062</t>
  </si>
  <si>
    <t xml:space="preserve">مايوه نايك</t>
  </si>
  <si>
    <t xml:space="preserve">2000000000063</t>
  </si>
  <si>
    <t xml:space="preserve">مايوه كيلفن كلاين</t>
  </si>
  <si>
    <t xml:space="preserve">2000000000064</t>
  </si>
  <si>
    <t xml:space="preserve">جينز تمبرلاند</t>
  </si>
  <si>
    <t xml:space="preserve">2000000000065</t>
  </si>
  <si>
    <t xml:space="preserve">تحزية</t>
  </si>
  <si>
    <t xml:space="preserve">2000000000066</t>
  </si>
  <si>
    <t xml:space="preserve">بنطلون جبردين GPS</t>
  </si>
  <si>
    <t xml:space="preserve">2000000000067</t>
  </si>
  <si>
    <t xml:space="preserve">بولو فيجس</t>
  </si>
  <si>
    <t xml:space="preserve">2000000000068</t>
  </si>
  <si>
    <t xml:space="preserve">راوند فيجس</t>
  </si>
  <si>
    <t xml:space="preserve">2000000000069</t>
  </si>
  <si>
    <t xml:space="preserve">شروال سوفت مستورد</t>
  </si>
  <si>
    <t xml:space="preserve">2000000000070</t>
  </si>
  <si>
    <t xml:space="preserve">قميص بوكس فيت</t>
  </si>
  <si>
    <t xml:space="preserve">2000000000071</t>
  </si>
  <si>
    <t xml:space="preserve">تيشيرت RNB</t>
  </si>
  <si>
    <t xml:space="preserve">2000000000072</t>
  </si>
  <si>
    <t xml:space="preserve">تيشيرت XIO اوريجينال</t>
  </si>
  <si>
    <t xml:space="preserve">2000000000073</t>
  </si>
  <si>
    <t xml:space="preserve">تيشيرت A|X</t>
  </si>
  <si>
    <t xml:space="preserve">2000000000074</t>
  </si>
  <si>
    <t xml:space="preserve">قميص كتان XIO</t>
  </si>
  <si>
    <t xml:space="preserve">2000000000075</t>
  </si>
  <si>
    <t xml:space="preserve">الإجمالي</t>
  </si>
  <si>
    <t xml:space="preserve">سجل الأصناف المنتهية / التالفة</t>
  </si>
  <si>
    <t xml:space="preserve">يُستخدم لتسجيل أي صنف يُستبعد من المخزون بسبب انتهاء الصلاحية أو التلف</t>
  </si>
  <si>
    <t xml:space="preserve">الكمية المنتهية</t>
  </si>
  <si>
    <t xml:space="preserve">تاريخ الانتهاء</t>
  </si>
  <si>
    <t xml:space="preserve">سبب الإزالة</t>
  </si>
  <si>
    <t xml:space="preserve">قيمة الفاقد (تكلفة)</t>
  </si>
  <si>
    <t xml:space="preserve">سجل فواتير المشتريات الجديدة</t>
  </si>
  <si>
    <t xml:space="preserve">يُستخدم لتسجيل أي بضاعة جديدة تدخل المخزن بعد الجرد</t>
  </si>
  <si>
    <t xml:space="preserve">التاريخ</t>
  </si>
  <si>
    <t xml:space="preserve">رقم الفاتورة</t>
  </si>
  <si>
    <t xml:space="preserve">المورد</t>
  </si>
  <si>
    <t xml:space="preserve">الكمية</t>
  </si>
  <si>
    <t xml:space="preserve">إجمالي الفاتورة</t>
  </si>
  <si>
    <t xml:space="preserve">01-07-2026</t>
  </si>
  <si>
    <t xml:space="preserve">GPS</t>
  </si>
  <si>
    <t xml:space="preserve">VEGAS</t>
  </si>
  <si>
    <t xml:space="preserve">NONE</t>
  </si>
  <si>
    <t xml:space="preserve">02-07-2026</t>
  </si>
  <si>
    <t xml:space="preserve">قميص نص كتان</t>
  </si>
  <si>
    <t xml:space="preserve">بنطلون كتان</t>
  </si>
  <si>
    <t xml:space="preserve">شورت كتان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</si>
</sst>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B7B7B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</cols>
  <sheetData>
    <row r="1" customFormat="false" ht="25.5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4" customFormat="false" ht="19.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5"/>
      <c r="C5" s="6" t="n">
        <f aca="false">COUNTA('جرد المخزون'!B4:B78)</f>
        <v>75</v>
      </c>
    </row>
    <row r="6" customFormat="false" ht="15" hidden="false" customHeight="true" outlineLevel="0" collapsed="false">
      <c r="A6" s="5" t="s">
        <v>4</v>
      </c>
      <c r="B6" s="5"/>
      <c r="C6" s="6" t="n">
        <f aca="false">'جرد المخزون'!D79</f>
        <v>523</v>
      </c>
    </row>
    <row r="7" customFormat="false" ht="15" hidden="false" customHeight="true" outlineLevel="0" collapsed="false">
      <c r="A7" s="5" t="s">
        <v>5</v>
      </c>
      <c r="B7" s="5"/>
      <c r="C7" s="6" t="n">
        <f aca="false">'جرد المخزون'!E79</f>
        <v>409</v>
      </c>
    </row>
    <row r="8" customFormat="false" ht="15" hidden="false" customHeight="true" outlineLevel="0" collapsed="false">
      <c r="A8" s="5" t="s">
        <v>6</v>
      </c>
      <c r="B8" s="5"/>
      <c r="C8" s="6" t="n">
        <f aca="false">'جرد المخزون'!F79</f>
        <v>-114</v>
      </c>
    </row>
    <row r="9" customFormat="false" ht="15" hidden="false" customHeight="true" outlineLevel="0" collapsed="false">
      <c r="A9" s="5" t="s">
        <v>7</v>
      </c>
      <c r="B9" s="5"/>
      <c r="C9" s="6" t="n">
        <f aca="false">'جرد المخزون'!I79</f>
        <v>-40200</v>
      </c>
    </row>
    <row r="10" customFormat="false" ht="15" hidden="false" customHeight="true" outlineLevel="0" collapsed="false">
      <c r="A10" s="5" t="s">
        <v>8</v>
      </c>
      <c r="B10" s="5"/>
      <c r="C10" s="6" t="n">
        <f aca="false">COUNTIF('جرد المخزون'!G4:G78,"عجز")</f>
        <v>43</v>
      </c>
    </row>
    <row r="11" customFormat="false" ht="15" hidden="false" customHeight="true" outlineLevel="0" collapsed="false">
      <c r="A11" s="5" t="s">
        <v>9</v>
      </c>
      <c r="B11" s="5"/>
      <c r="C11" s="6" t="n">
        <f aca="false">COUNTIF('جرد المخزون'!G4:G78,"زيادة")</f>
        <v>0</v>
      </c>
    </row>
    <row r="12" customFormat="false" ht="15" hidden="false" customHeight="true" outlineLevel="0" collapsed="false">
      <c r="A12" s="5" t="s">
        <v>10</v>
      </c>
      <c r="B12" s="5"/>
      <c r="C12" s="6" t="n">
        <f aca="false">COUNTIF('جرد المخزون'!G4:G78,"مطابق")</f>
        <v>32</v>
      </c>
    </row>
    <row r="13" customFormat="false" ht="15" hidden="false" customHeight="true" outlineLevel="0" collapsed="false">
      <c r="A13" s="5" t="s">
        <v>11</v>
      </c>
      <c r="B13" s="5"/>
      <c r="C13" s="6" t="n">
        <f aca="false">COUNTIF('جرد المخزون'!G4:G78,"لم يُجرد بعد")</f>
        <v>0</v>
      </c>
    </row>
    <row r="14" customFormat="false" ht="19.5" hidden="false" customHeight="true" outlineLevel="0" collapsed="false">
      <c r="A14" s="4" t="s">
        <v>12</v>
      </c>
      <c r="B14" s="4"/>
      <c r="C14" s="4"/>
    </row>
    <row r="15" customFormat="false" ht="15" hidden="false" customHeight="true" outlineLevel="0" collapsed="false">
      <c r="A15" s="5" t="s">
        <v>13</v>
      </c>
      <c r="B15" s="5"/>
      <c r="C15" s="6" t="n">
        <f aca="false">'الأصناف المنتهية'!D44</f>
        <v>0</v>
      </c>
    </row>
    <row r="16" customFormat="false" ht="15" hidden="false" customHeight="true" outlineLevel="0" collapsed="false">
      <c r="A16" s="5" t="s">
        <v>14</v>
      </c>
      <c r="B16" s="5"/>
      <c r="C16" s="6" t="n">
        <f aca="false">'الأصناف المنتهية'!G44</f>
        <v>0</v>
      </c>
    </row>
    <row r="17" customFormat="false" ht="19.5" hidden="false" customHeight="true" outlineLevel="0" collapsed="false">
      <c r="A17" s="4" t="s">
        <v>15</v>
      </c>
      <c r="B17" s="4"/>
      <c r="C17" s="4"/>
    </row>
    <row r="18" customFormat="false" ht="15" hidden="false" customHeight="true" outlineLevel="0" collapsed="false">
      <c r="A18" s="5" t="s">
        <v>16</v>
      </c>
      <c r="B18" s="5"/>
      <c r="C18" s="6" t="n">
        <f aca="false">'فواتير جديدة'!G44</f>
        <v>79</v>
      </c>
    </row>
    <row r="19" customFormat="false" ht="15" hidden="false" customHeight="true" outlineLevel="0" collapsed="false">
      <c r="A19" s="5" t="s">
        <v>17</v>
      </c>
      <c r="B19" s="5"/>
      <c r="C19" s="6" t="n">
        <f aca="false">'فواتير جديدة'!I44</f>
        <v>30400</v>
      </c>
    </row>
    <row r="20" customFormat="false" ht="19.5" hidden="false" customHeight="true" outlineLevel="0" collapsed="false">
      <c r="A20" s="4" t="s">
        <v>18</v>
      </c>
      <c r="B20" s="4"/>
      <c r="C20" s="4"/>
    </row>
    <row r="21" customFormat="false" ht="15" hidden="false" customHeight="true" outlineLevel="0" collapsed="false">
      <c r="A21" s="5" t="s">
        <v>19</v>
      </c>
      <c r="B21" s="5"/>
      <c r="C21" s="6" t="n">
        <f aca="false">'جرد المخزون'!I79+'فواتير جديدة'!I44-'الأصناف المنتهية'!G44</f>
        <v>-9800</v>
      </c>
    </row>
  </sheetData>
  <mergeCells count="20">
    <mergeCell ref="A1:C1"/>
    <mergeCell ref="A2:C2"/>
    <mergeCell ref="A4:C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C14"/>
    <mergeCell ref="A15:B15"/>
    <mergeCell ref="A16:B16"/>
    <mergeCell ref="A17:C17"/>
    <mergeCell ref="A18:B18"/>
    <mergeCell ref="A19:B19"/>
    <mergeCell ref="A20:C20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56" activePane="bottomLeft" state="frozen"/>
      <selection pane="topLeft" activeCell="A1" activeCellId="0" sqref="A1"/>
      <selection pane="bottomLeft" activeCell="E79" activeCellId="0" sqref="E7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22"/>
    <col collapsed="false" customWidth="true" hidden="false" outlineLevel="0" max="11" min="11" style="1" width="16"/>
  </cols>
  <sheetData>
    <row r="1" customFormat="false" ht="25.5" hidden="false" customHeight="true" outlineLevel="0" collapsed="false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21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</row>
    <row r="4" customFormat="false" ht="15" hidden="false" customHeight="true" outlineLevel="0" collapsed="false">
      <c r="A4" s="8" t="n">
        <v>1</v>
      </c>
      <c r="B4" s="9" t="s">
        <v>33</v>
      </c>
      <c r="C4" s="8" t="s">
        <v>34</v>
      </c>
      <c r="D4" s="8" t="n">
        <f aca="false">K4+SUMIF('فواتير جديدة'!$F$4:$F$43,C4,'فواتير جديدة'!$G$4:$G$43)</f>
        <v>1</v>
      </c>
      <c r="E4" s="10" t="n">
        <v>1</v>
      </c>
      <c r="F4" s="8" t="n">
        <f aca="false">IF(E4="","",E4-D4)</f>
        <v>0</v>
      </c>
      <c r="G4" s="8" t="str">
        <f aca="false">IF(E4="","لم يُجرد بعد",IF(F4=0,"مطابق",IF(F4&lt;0,"عجز","زيادة")))</f>
        <v>مطابق</v>
      </c>
      <c r="H4" s="8" t="n">
        <v>360</v>
      </c>
      <c r="I4" s="8" t="n">
        <f aca="false">IF(E4="","",F4*H4)</f>
        <v>0</v>
      </c>
      <c r="J4" s="9"/>
      <c r="K4" s="11" t="n">
        <v>1</v>
      </c>
    </row>
    <row r="5" customFormat="false" ht="15" hidden="false" customHeight="true" outlineLevel="0" collapsed="false">
      <c r="A5" s="8" t="n">
        <v>2</v>
      </c>
      <c r="B5" s="9" t="s">
        <v>35</v>
      </c>
      <c r="C5" s="8" t="s">
        <v>36</v>
      </c>
      <c r="D5" s="8" t="n">
        <f aca="false">K5+SUMIF('فواتير جديدة'!$F$4:$F$43,C5,'فواتير جديدة'!$G$4:$G$43)</f>
        <v>8</v>
      </c>
      <c r="E5" s="10" t="n">
        <v>5</v>
      </c>
      <c r="F5" s="8" t="n">
        <f aca="false">IF(E5="","",E5-D5)</f>
        <v>-3</v>
      </c>
      <c r="G5" s="8" t="str">
        <f aca="false">IF(E5="","لم يُجرد بعد",IF(F5=0,"مطابق",IF(F5&lt;0,"عجز","زيادة")))</f>
        <v>عجز</v>
      </c>
      <c r="H5" s="8" t="n">
        <v>480</v>
      </c>
      <c r="I5" s="8" t="n">
        <f aca="false">IF(E5="","",F5*H5)</f>
        <v>-1440</v>
      </c>
      <c r="J5" s="9"/>
      <c r="K5" s="11" t="n">
        <v>8</v>
      </c>
    </row>
    <row r="6" customFormat="false" ht="15" hidden="false" customHeight="true" outlineLevel="0" collapsed="false">
      <c r="A6" s="8" t="n">
        <v>3</v>
      </c>
      <c r="B6" s="9" t="s">
        <v>37</v>
      </c>
      <c r="C6" s="8" t="s">
        <v>38</v>
      </c>
      <c r="D6" s="8" t="n">
        <f aca="false">K6+SUMIF('فواتير جديدة'!$F$4:$F$43,C6,'فواتير جديدة'!$G$4:$G$43)</f>
        <v>5</v>
      </c>
      <c r="E6" s="10" t="n">
        <v>3</v>
      </c>
      <c r="F6" s="8" t="n">
        <f aca="false">IF(E6="","",E6-D6)</f>
        <v>-2</v>
      </c>
      <c r="G6" s="8" t="str">
        <f aca="false">IF(E6="","لم يُجرد بعد",IF(F6=0,"مطابق",IF(F6&lt;0,"عجز","زيادة")))</f>
        <v>عجز</v>
      </c>
      <c r="H6" s="8" t="n">
        <v>250</v>
      </c>
      <c r="I6" s="8" t="n">
        <f aca="false">IF(E6="","",F6*H6)</f>
        <v>-500</v>
      </c>
      <c r="J6" s="9"/>
      <c r="K6" s="11" t="n">
        <v>5</v>
      </c>
    </row>
    <row r="7" customFormat="false" ht="15" hidden="false" customHeight="true" outlineLevel="0" collapsed="false">
      <c r="A7" s="8" t="n">
        <v>4</v>
      </c>
      <c r="B7" s="9" t="s">
        <v>39</v>
      </c>
      <c r="C7" s="8" t="s">
        <v>40</v>
      </c>
      <c r="D7" s="8" t="n">
        <f aca="false">K7+SUMIF('فواتير جديدة'!$F$4:$F$43,C7,'فواتير جديدة'!$G$4:$G$43)</f>
        <v>3</v>
      </c>
      <c r="E7" s="10" t="n">
        <v>1</v>
      </c>
      <c r="F7" s="8" t="n">
        <f aca="false">IF(E7="","",E7-D7)</f>
        <v>-2</v>
      </c>
      <c r="G7" s="8" t="str">
        <f aca="false">IF(E7="","لم يُجرد بعد",IF(F7=0,"مطابق",IF(F7&lt;0,"عجز","زيادة")))</f>
        <v>عجز</v>
      </c>
      <c r="H7" s="8" t="n">
        <v>200</v>
      </c>
      <c r="I7" s="8" t="n">
        <f aca="false">IF(E7="","",F7*H7)</f>
        <v>-400</v>
      </c>
      <c r="J7" s="9"/>
      <c r="K7" s="11" t="n">
        <v>3</v>
      </c>
    </row>
    <row r="8" customFormat="false" ht="15" hidden="false" customHeight="true" outlineLevel="0" collapsed="false">
      <c r="A8" s="8" t="n">
        <v>5</v>
      </c>
      <c r="B8" s="9" t="s">
        <v>41</v>
      </c>
      <c r="C8" s="8" t="s">
        <v>42</v>
      </c>
      <c r="D8" s="8" t="n">
        <f aca="false">K8+SUMIF('فواتير جديدة'!$F$4:$F$43,C8,'فواتير جديدة'!$G$4:$G$43)</f>
        <v>2</v>
      </c>
      <c r="E8" s="10" t="n">
        <v>1</v>
      </c>
      <c r="F8" s="8" t="n">
        <f aca="false">IF(E8="","",E8-D8)</f>
        <v>-1</v>
      </c>
      <c r="G8" s="8" t="str">
        <f aca="false">IF(E8="","لم يُجرد بعد",IF(F8=0,"مطابق",IF(F8&lt;0,"عجز","زيادة")))</f>
        <v>عجز</v>
      </c>
      <c r="H8" s="8" t="n">
        <v>250</v>
      </c>
      <c r="I8" s="8" t="n">
        <f aca="false">IF(E8="","",F8*H8)</f>
        <v>-250</v>
      </c>
      <c r="J8" s="9"/>
      <c r="K8" s="11" t="n">
        <v>2</v>
      </c>
    </row>
    <row r="9" customFormat="false" ht="15" hidden="false" customHeight="true" outlineLevel="0" collapsed="false">
      <c r="A9" s="8" t="n">
        <v>6</v>
      </c>
      <c r="B9" s="9" t="s">
        <v>43</v>
      </c>
      <c r="C9" s="8" t="s">
        <v>44</v>
      </c>
      <c r="D9" s="8" t="n">
        <f aca="false">K9+SUMIF('فواتير جديدة'!$F$4:$F$43,C9,'فواتير جديدة'!$G$4:$G$43)</f>
        <v>1</v>
      </c>
      <c r="E9" s="10" t="n">
        <v>1</v>
      </c>
      <c r="F9" s="8" t="n">
        <f aca="false">IF(E9="","",E9-D9)</f>
        <v>0</v>
      </c>
      <c r="G9" s="8" t="str">
        <f aca="false">IF(E9="","لم يُجرد بعد",IF(F9=0,"مطابق",IF(F9&lt;0,"عجز","زيادة")))</f>
        <v>مطابق</v>
      </c>
      <c r="H9" s="8" t="n">
        <v>360</v>
      </c>
      <c r="I9" s="8" t="n">
        <f aca="false">IF(E9="","",F9*H9)</f>
        <v>0</v>
      </c>
      <c r="J9" s="9"/>
      <c r="K9" s="11" t="n">
        <v>1</v>
      </c>
    </row>
    <row r="10" customFormat="false" ht="15" hidden="false" customHeight="true" outlineLevel="0" collapsed="false">
      <c r="A10" s="8" t="n">
        <v>7</v>
      </c>
      <c r="B10" s="9" t="s">
        <v>45</v>
      </c>
      <c r="C10" s="8" t="s">
        <v>46</v>
      </c>
      <c r="D10" s="8" t="n">
        <f aca="false">K10+SUMIF('فواتير جديدة'!$F$4:$F$43,C10,'فواتير جديدة'!$G$4:$G$43)</f>
        <v>4</v>
      </c>
      <c r="E10" s="10" t="n">
        <v>2</v>
      </c>
      <c r="F10" s="8" t="n">
        <f aca="false">IF(E10="","",E10-D10)</f>
        <v>-2</v>
      </c>
      <c r="G10" s="8" t="str">
        <f aca="false">IF(E10="","لم يُجرد بعد",IF(F10=0,"مطابق",IF(F10&lt;0,"عجز","زيادة")))</f>
        <v>عجز</v>
      </c>
      <c r="H10" s="8" t="n">
        <v>290</v>
      </c>
      <c r="I10" s="8" t="n">
        <f aca="false">IF(E10="","",F10*H10)</f>
        <v>-580</v>
      </c>
      <c r="J10" s="9"/>
      <c r="K10" s="11" t="n">
        <v>4</v>
      </c>
    </row>
    <row r="11" customFormat="false" ht="15" hidden="false" customHeight="true" outlineLevel="0" collapsed="false">
      <c r="A11" s="8" t="n">
        <v>8</v>
      </c>
      <c r="B11" s="9" t="s">
        <v>47</v>
      </c>
      <c r="C11" s="8" t="s">
        <v>48</v>
      </c>
      <c r="D11" s="8" t="n">
        <f aca="false">K11+SUMIF('فواتير جديدة'!$F$4:$F$43,C11,'فواتير جديدة'!$G$4:$G$43)</f>
        <v>1</v>
      </c>
      <c r="E11" s="10" t="n">
        <v>0</v>
      </c>
      <c r="F11" s="8" t="n">
        <f aca="false">IF(E11="","",E11-D11)</f>
        <v>-1</v>
      </c>
      <c r="G11" s="8" t="str">
        <f aca="false">IF(E11="","لم يُجرد بعد",IF(F11=0,"مطابق",IF(F11&lt;0,"عجز","زيادة")))</f>
        <v>عجز</v>
      </c>
      <c r="H11" s="8" t="n">
        <v>350</v>
      </c>
      <c r="I11" s="8" t="n">
        <f aca="false">IF(E11="","",F11*H11)</f>
        <v>-350</v>
      </c>
      <c r="J11" s="9"/>
      <c r="K11" s="11" t="n">
        <v>1</v>
      </c>
    </row>
    <row r="12" customFormat="false" ht="15" hidden="false" customHeight="true" outlineLevel="0" collapsed="false">
      <c r="A12" s="8" t="n">
        <v>9</v>
      </c>
      <c r="B12" s="9" t="s">
        <v>49</v>
      </c>
      <c r="C12" s="8" t="s">
        <v>50</v>
      </c>
      <c r="D12" s="8" t="n">
        <f aca="false">K12+SUMIF('فواتير جديدة'!$F$4:$F$43,C12,'فواتير جديدة'!$G$4:$G$43)</f>
        <v>14</v>
      </c>
      <c r="E12" s="10" t="n">
        <v>14</v>
      </c>
      <c r="F12" s="8" t="n">
        <f aca="false">IF(E12="","",E12-D12)</f>
        <v>0</v>
      </c>
      <c r="G12" s="8" t="str">
        <f aca="false">IF(E12="","لم يُجرد بعد",IF(F12=0,"مطابق",IF(F12&lt;0,"عجز","زيادة")))</f>
        <v>مطابق</v>
      </c>
      <c r="H12" s="8" t="n">
        <v>180</v>
      </c>
      <c r="I12" s="8" t="n">
        <f aca="false">IF(E12="","",F12*H12)</f>
        <v>0</v>
      </c>
      <c r="J12" s="9"/>
      <c r="K12" s="11" t="n">
        <v>14</v>
      </c>
    </row>
    <row r="13" customFormat="false" ht="15" hidden="false" customHeight="true" outlineLevel="0" collapsed="false">
      <c r="A13" s="8" t="n">
        <v>10</v>
      </c>
      <c r="B13" s="9" t="s">
        <v>51</v>
      </c>
      <c r="C13" s="8" t="s">
        <v>52</v>
      </c>
      <c r="D13" s="8" t="n">
        <f aca="false">K13+SUMIF('فواتير جديدة'!$F$4:$F$43,C13,'فواتير جديدة'!$G$4:$G$43)</f>
        <v>7</v>
      </c>
      <c r="E13" s="10" t="n">
        <v>7</v>
      </c>
      <c r="F13" s="8" t="n">
        <f aca="false">IF(E13="","",E13-D13)</f>
        <v>0</v>
      </c>
      <c r="G13" s="8" t="str">
        <f aca="false">IF(E13="","لم يُجرد بعد",IF(F13=0,"مطابق",IF(F13&lt;0,"عجز","زيادة")))</f>
        <v>مطابق</v>
      </c>
      <c r="H13" s="8" t="n">
        <v>280</v>
      </c>
      <c r="I13" s="8" t="n">
        <f aca="false">IF(E13="","",F13*H13)</f>
        <v>0</v>
      </c>
      <c r="J13" s="9"/>
      <c r="K13" s="11" t="n">
        <v>7</v>
      </c>
    </row>
    <row r="14" customFormat="false" ht="15" hidden="false" customHeight="true" outlineLevel="0" collapsed="false">
      <c r="A14" s="8" t="n">
        <v>11</v>
      </c>
      <c r="B14" s="9" t="s">
        <v>53</v>
      </c>
      <c r="C14" s="8" t="s">
        <v>54</v>
      </c>
      <c r="D14" s="8" t="n">
        <f aca="false">K14+SUMIF('فواتير جديدة'!$F$4:$F$43,C14,'فواتير جديدة'!$G$4:$G$43)</f>
        <v>2</v>
      </c>
      <c r="E14" s="10" t="n">
        <v>2</v>
      </c>
      <c r="F14" s="8" t="n">
        <f aca="false">IF(E14="","",E14-D14)</f>
        <v>0</v>
      </c>
      <c r="G14" s="8" t="str">
        <f aca="false">IF(E14="","لم يُجرد بعد",IF(F14=0,"مطابق",IF(F14&lt;0,"عجز","زيادة")))</f>
        <v>مطابق</v>
      </c>
      <c r="H14" s="8" t="n">
        <v>300</v>
      </c>
      <c r="I14" s="8" t="n">
        <f aca="false">IF(E14="","",F14*H14)</f>
        <v>0</v>
      </c>
      <c r="J14" s="9"/>
      <c r="K14" s="11" t="n">
        <v>2</v>
      </c>
    </row>
    <row r="15" customFormat="false" ht="15" hidden="false" customHeight="true" outlineLevel="0" collapsed="false">
      <c r="A15" s="8" t="n">
        <v>12</v>
      </c>
      <c r="B15" s="9" t="s">
        <v>55</v>
      </c>
      <c r="C15" s="8" t="s">
        <v>56</v>
      </c>
      <c r="D15" s="8" t="n">
        <f aca="false">K15+SUMIF('فواتير جديدة'!$F$4:$F$43,C15,'فواتير جديدة'!$G$4:$G$43)</f>
        <v>1</v>
      </c>
      <c r="E15" s="10" t="n">
        <v>1</v>
      </c>
      <c r="F15" s="8" t="n">
        <f aca="false">IF(E15="","",E15-D15)</f>
        <v>0</v>
      </c>
      <c r="G15" s="8" t="str">
        <f aca="false">IF(E15="","لم يُجرد بعد",IF(F15=0,"مطابق",IF(F15&lt;0,"عجز","زيادة")))</f>
        <v>مطابق</v>
      </c>
      <c r="H15" s="8" t="n">
        <v>240</v>
      </c>
      <c r="I15" s="8" t="n">
        <f aca="false">IF(E15="","",F15*H15)</f>
        <v>0</v>
      </c>
      <c r="J15" s="9"/>
      <c r="K15" s="11" t="n">
        <v>1</v>
      </c>
    </row>
    <row r="16" customFormat="false" ht="15" hidden="false" customHeight="true" outlineLevel="0" collapsed="false">
      <c r="A16" s="8" t="n">
        <v>13</v>
      </c>
      <c r="B16" s="9" t="s">
        <v>57</v>
      </c>
      <c r="C16" s="8" t="s">
        <v>58</v>
      </c>
      <c r="D16" s="8" t="n">
        <f aca="false">K16+SUMIF('فواتير جديدة'!$F$4:$F$43,C16,'فواتير جديدة'!$G$4:$G$43)</f>
        <v>1</v>
      </c>
      <c r="E16" s="10" t="n">
        <v>1</v>
      </c>
      <c r="F16" s="8" t="n">
        <f aca="false">IF(E16="","",E16-D16)</f>
        <v>0</v>
      </c>
      <c r="G16" s="8" t="str">
        <f aca="false">IF(E16="","لم يُجرد بعد",IF(F16=0,"مطابق",IF(F16&lt;0,"عجز","زيادة")))</f>
        <v>مطابق</v>
      </c>
      <c r="H16" s="8" t="n">
        <v>410</v>
      </c>
      <c r="I16" s="8" t="n">
        <f aca="false">IF(E16="","",F16*H16)</f>
        <v>0</v>
      </c>
      <c r="J16" s="9"/>
      <c r="K16" s="11" t="n">
        <v>1</v>
      </c>
    </row>
    <row r="17" customFormat="false" ht="15" hidden="false" customHeight="true" outlineLevel="0" collapsed="false">
      <c r="A17" s="8" t="n">
        <v>14</v>
      </c>
      <c r="B17" s="9" t="s">
        <v>59</v>
      </c>
      <c r="C17" s="8" t="s">
        <v>60</v>
      </c>
      <c r="D17" s="8" t="n">
        <f aca="false">K17+SUMIF('فواتير جديدة'!$F$4:$F$43,C17,'فواتير جديدة'!$G$4:$G$43)</f>
        <v>1</v>
      </c>
      <c r="E17" s="10" t="n">
        <v>0</v>
      </c>
      <c r="F17" s="8" t="n">
        <f aca="false">IF(E17="","",E17-D17)</f>
        <v>-1</v>
      </c>
      <c r="G17" s="8" t="str">
        <f aca="false">IF(E17="","لم يُجرد بعد",IF(F17=0,"مطابق",IF(F17&lt;0,"عجز","زيادة")))</f>
        <v>عجز</v>
      </c>
      <c r="H17" s="8" t="n">
        <v>490</v>
      </c>
      <c r="I17" s="8" t="n">
        <f aca="false">IF(E17="","",F17*H17)</f>
        <v>-490</v>
      </c>
      <c r="J17" s="9"/>
      <c r="K17" s="11" t="n">
        <v>1</v>
      </c>
    </row>
    <row r="18" customFormat="false" ht="15" hidden="false" customHeight="true" outlineLevel="0" collapsed="false">
      <c r="A18" s="8" t="n">
        <v>15</v>
      </c>
      <c r="B18" s="9" t="s">
        <v>61</v>
      </c>
      <c r="C18" s="8" t="s">
        <v>62</v>
      </c>
      <c r="D18" s="8" t="n">
        <f aca="false">K18+SUMIF('فواتير جديدة'!$F$4:$F$43,C18,'فواتير جديدة'!$G$4:$G$43)</f>
        <v>2</v>
      </c>
      <c r="E18" s="10" t="n">
        <v>2</v>
      </c>
      <c r="F18" s="8" t="n">
        <f aca="false">IF(E18="","",E18-D18)</f>
        <v>0</v>
      </c>
      <c r="G18" s="8" t="str">
        <f aca="false">IF(E18="","لم يُجرد بعد",IF(F18=0,"مطابق",IF(F18&lt;0,"عجز","زيادة")))</f>
        <v>مطابق</v>
      </c>
      <c r="H18" s="8" t="n">
        <v>460</v>
      </c>
      <c r="I18" s="8" t="n">
        <f aca="false">IF(E18="","",F18*H18)</f>
        <v>0</v>
      </c>
      <c r="J18" s="9"/>
      <c r="K18" s="11" t="n">
        <v>2</v>
      </c>
    </row>
    <row r="19" customFormat="false" ht="15" hidden="false" customHeight="true" outlineLevel="0" collapsed="false">
      <c r="A19" s="8" t="n">
        <v>16</v>
      </c>
      <c r="B19" s="9" t="s">
        <v>63</v>
      </c>
      <c r="C19" s="8" t="s">
        <v>64</v>
      </c>
      <c r="D19" s="8" t="n">
        <f aca="false">K19+SUMIF('فواتير جديدة'!$F$4:$F$43,C19,'فواتير جديدة'!$G$4:$G$43)</f>
        <v>2</v>
      </c>
      <c r="E19" s="10" t="n">
        <v>2</v>
      </c>
      <c r="F19" s="8" t="n">
        <f aca="false">IF(E19="","",E19-D19)</f>
        <v>0</v>
      </c>
      <c r="G19" s="8" t="str">
        <f aca="false">IF(E19="","لم يُجرد بعد",IF(F19=0,"مطابق",IF(F19&lt;0,"عجز","زيادة")))</f>
        <v>مطابق</v>
      </c>
      <c r="H19" s="8" t="n">
        <v>360</v>
      </c>
      <c r="I19" s="8" t="n">
        <f aca="false">IF(E19="","",F19*H19)</f>
        <v>0</v>
      </c>
      <c r="J19" s="9"/>
      <c r="K19" s="11" t="n">
        <v>2</v>
      </c>
    </row>
    <row r="20" customFormat="false" ht="15" hidden="false" customHeight="true" outlineLevel="0" collapsed="false">
      <c r="A20" s="8" t="n">
        <v>17</v>
      </c>
      <c r="B20" s="9" t="s">
        <v>65</v>
      </c>
      <c r="C20" s="8" t="s">
        <v>66</v>
      </c>
      <c r="D20" s="8" t="n">
        <f aca="false">K20+SUMIF('فواتير جديدة'!$F$4:$F$43,C20,'فواتير جديدة'!$G$4:$G$43)</f>
        <v>5</v>
      </c>
      <c r="E20" s="10" t="n">
        <v>4</v>
      </c>
      <c r="F20" s="8" t="n">
        <f aca="false">IF(E20="","",E20-D20)</f>
        <v>-1</v>
      </c>
      <c r="G20" s="8" t="str">
        <f aca="false">IF(E20="","لم يُجرد بعد",IF(F20=0,"مطابق",IF(F20&lt;0,"عجز","زيادة")))</f>
        <v>عجز</v>
      </c>
      <c r="H20" s="8" t="n">
        <v>295</v>
      </c>
      <c r="I20" s="8" t="n">
        <f aca="false">IF(E20="","",F20*H20)</f>
        <v>-295</v>
      </c>
      <c r="J20" s="9"/>
      <c r="K20" s="11" t="n">
        <v>5</v>
      </c>
    </row>
    <row r="21" customFormat="false" ht="15" hidden="false" customHeight="true" outlineLevel="0" collapsed="false">
      <c r="A21" s="8" t="n">
        <v>18</v>
      </c>
      <c r="B21" s="9" t="s">
        <v>67</v>
      </c>
      <c r="C21" s="8" t="s">
        <v>68</v>
      </c>
      <c r="D21" s="8" t="n">
        <f aca="false">K21+SUMIF('فواتير جديدة'!$F$4:$F$43,C21,'فواتير جديدة'!$G$4:$G$43)</f>
        <v>1</v>
      </c>
      <c r="E21" s="10" t="n">
        <v>1</v>
      </c>
      <c r="F21" s="8" t="n">
        <f aca="false">IF(E21="","",E21-D21)</f>
        <v>0</v>
      </c>
      <c r="G21" s="8" t="str">
        <f aca="false">IF(E21="","لم يُجرد بعد",IF(F21=0,"مطابق",IF(F21&lt;0,"عجز","زيادة")))</f>
        <v>مطابق</v>
      </c>
      <c r="H21" s="8" t="n">
        <v>320</v>
      </c>
      <c r="I21" s="8" t="n">
        <f aca="false">IF(E21="","",F21*H21)</f>
        <v>0</v>
      </c>
      <c r="J21" s="9"/>
      <c r="K21" s="11" t="n">
        <v>1</v>
      </c>
    </row>
    <row r="22" customFormat="false" ht="15" hidden="false" customHeight="true" outlineLevel="0" collapsed="false">
      <c r="A22" s="8" t="n">
        <v>19</v>
      </c>
      <c r="B22" s="9" t="s">
        <v>69</v>
      </c>
      <c r="C22" s="8" t="s">
        <v>70</v>
      </c>
      <c r="D22" s="8" t="n">
        <f aca="false">K22+SUMIF('فواتير جديدة'!$F$4:$F$43,C22,'فواتير جديدة'!$G$4:$G$43)</f>
        <v>2</v>
      </c>
      <c r="E22" s="10" t="n">
        <v>2</v>
      </c>
      <c r="F22" s="8" t="n">
        <f aca="false">IF(E22="","",E22-D22)</f>
        <v>0</v>
      </c>
      <c r="G22" s="8" t="str">
        <f aca="false">IF(E22="","لم يُجرد بعد",IF(F22=0,"مطابق",IF(F22&lt;0,"عجز","زيادة")))</f>
        <v>مطابق</v>
      </c>
      <c r="H22" s="8" t="n">
        <v>490</v>
      </c>
      <c r="I22" s="8" t="n">
        <f aca="false">IF(E22="","",F22*H22)</f>
        <v>0</v>
      </c>
      <c r="J22" s="9"/>
      <c r="K22" s="11" t="n">
        <v>2</v>
      </c>
    </row>
    <row r="23" customFormat="false" ht="15" hidden="false" customHeight="true" outlineLevel="0" collapsed="false">
      <c r="A23" s="8" t="n">
        <v>20</v>
      </c>
      <c r="B23" s="9" t="s">
        <v>71</v>
      </c>
      <c r="C23" s="8" t="s">
        <v>72</v>
      </c>
      <c r="D23" s="8" t="n">
        <f aca="false">K23+SUMIF('فواتير جديدة'!$F$4:$F$43,C23,'فواتير جديدة'!$G$4:$G$43)</f>
        <v>2</v>
      </c>
      <c r="E23" s="10" t="n">
        <v>1</v>
      </c>
      <c r="F23" s="8" t="n">
        <f aca="false">IF(E23="","",E23-D23)</f>
        <v>-1</v>
      </c>
      <c r="G23" s="8" t="str">
        <f aca="false">IF(E23="","لم يُجرد بعد",IF(F23=0,"مطابق",IF(F23&lt;0,"عجز","زيادة")))</f>
        <v>عجز</v>
      </c>
      <c r="H23" s="8" t="n">
        <v>410</v>
      </c>
      <c r="I23" s="8" t="n">
        <f aca="false">IF(E23="","",F23*H23)</f>
        <v>-410</v>
      </c>
      <c r="J23" s="9"/>
      <c r="K23" s="11" t="n">
        <v>2</v>
      </c>
    </row>
    <row r="24" customFormat="false" ht="15" hidden="false" customHeight="true" outlineLevel="0" collapsed="false">
      <c r="A24" s="8" t="n">
        <v>21</v>
      </c>
      <c r="B24" s="9" t="s">
        <v>73</v>
      </c>
      <c r="C24" s="8" t="s">
        <v>74</v>
      </c>
      <c r="D24" s="8" t="n">
        <f aca="false">K24+SUMIF('فواتير جديدة'!$F$4:$F$43,C24,'فواتير جديدة'!$G$4:$G$43)</f>
        <v>1</v>
      </c>
      <c r="E24" s="10" t="n">
        <v>1</v>
      </c>
      <c r="F24" s="8" t="n">
        <f aca="false">IF(E24="","",E24-D24)</f>
        <v>0</v>
      </c>
      <c r="G24" s="8" t="str">
        <f aca="false">IF(E24="","لم يُجرد بعد",IF(F24=0,"مطابق",IF(F24&lt;0,"عجز","زيادة")))</f>
        <v>مطابق</v>
      </c>
      <c r="H24" s="8" t="n">
        <v>380</v>
      </c>
      <c r="I24" s="8" t="n">
        <f aca="false">IF(E24="","",F24*H24)</f>
        <v>0</v>
      </c>
      <c r="J24" s="9"/>
      <c r="K24" s="11" t="n">
        <v>1</v>
      </c>
    </row>
    <row r="25" customFormat="false" ht="15" hidden="false" customHeight="true" outlineLevel="0" collapsed="false">
      <c r="A25" s="8" t="n">
        <v>22</v>
      </c>
      <c r="B25" s="9" t="s">
        <v>75</v>
      </c>
      <c r="C25" s="8" t="s">
        <v>76</v>
      </c>
      <c r="D25" s="8" t="n">
        <f aca="false">K25+SUMIF('فواتير جديدة'!$F$4:$F$43,C25,'فواتير جديدة'!$G$4:$G$43)</f>
        <v>16</v>
      </c>
      <c r="E25" s="10" t="n">
        <v>7</v>
      </c>
      <c r="F25" s="8" t="n">
        <f aca="false">IF(E25="","",E25-D25)</f>
        <v>-9</v>
      </c>
      <c r="G25" s="8" t="str">
        <f aca="false">IF(E25="","لم يُجرد بعد",IF(F25=0,"مطابق",IF(F25&lt;0,"عجز","زيادة")))</f>
        <v>عجز</v>
      </c>
      <c r="H25" s="8" t="n">
        <v>490</v>
      </c>
      <c r="I25" s="8" t="n">
        <f aca="false">IF(E25="","",F25*H25)</f>
        <v>-4410</v>
      </c>
      <c r="J25" s="9"/>
      <c r="K25" s="11" t="n">
        <v>16</v>
      </c>
    </row>
    <row r="26" customFormat="false" ht="15" hidden="false" customHeight="true" outlineLevel="0" collapsed="false">
      <c r="A26" s="8" t="n">
        <v>23</v>
      </c>
      <c r="B26" s="9" t="s">
        <v>77</v>
      </c>
      <c r="C26" s="8" t="s">
        <v>78</v>
      </c>
      <c r="D26" s="8" t="n">
        <f aca="false">K26+SUMIF('فواتير جديدة'!$F$4:$F$43,C26,'فواتير جديدة'!$G$4:$G$43)</f>
        <v>24</v>
      </c>
      <c r="E26" s="10" t="n">
        <v>19</v>
      </c>
      <c r="F26" s="8" t="n">
        <f aca="false">IF(E26="","",E26-D26)</f>
        <v>-5</v>
      </c>
      <c r="G26" s="8" t="str">
        <f aca="false">IF(E26="","لم يُجرد بعد",IF(F26=0,"مطابق",IF(F26&lt;0,"عجز","زيادة")))</f>
        <v>عجز</v>
      </c>
      <c r="H26" s="8" t="n">
        <v>250</v>
      </c>
      <c r="I26" s="8" t="n">
        <f aca="false">IF(E26="","",F26*H26)</f>
        <v>-1250</v>
      </c>
      <c r="J26" s="9"/>
      <c r="K26" s="11" t="n">
        <v>24</v>
      </c>
    </row>
    <row r="27" customFormat="false" ht="15" hidden="false" customHeight="true" outlineLevel="0" collapsed="false">
      <c r="A27" s="8" t="n">
        <v>24</v>
      </c>
      <c r="B27" s="9" t="s">
        <v>79</v>
      </c>
      <c r="C27" s="8" t="s">
        <v>80</v>
      </c>
      <c r="D27" s="8" t="n">
        <f aca="false">K27+SUMIF('فواتير جديدة'!$F$4:$F$43,C27,'فواتير جديدة'!$G$4:$G$43)</f>
        <v>6</v>
      </c>
      <c r="E27" s="10" t="n">
        <v>3</v>
      </c>
      <c r="F27" s="8" t="n">
        <f aca="false">IF(E27="","",E27-D27)</f>
        <v>-3</v>
      </c>
      <c r="G27" s="8" t="str">
        <f aca="false">IF(E27="","لم يُجرد بعد",IF(F27=0,"مطابق",IF(F27&lt;0,"عجز","زيادة")))</f>
        <v>عجز</v>
      </c>
      <c r="H27" s="8" t="n">
        <v>510</v>
      </c>
      <c r="I27" s="8" t="n">
        <f aca="false">IF(E27="","",F27*H27)</f>
        <v>-1530</v>
      </c>
      <c r="J27" s="9"/>
      <c r="K27" s="11" t="n">
        <v>6</v>
      </c>
    </row>
    <row r="28" customFormat="false" ht="15" hidden="false" customHeight="true" outlineLevel="0" collapsed="false">
      <c r="A28" s="8" t="n">
        <v>25</v>
      </c>
      <c r="B28" s="9" t="s">
        <v>81</v>
      </c>
      <c r="C28" s="8" t="s">
        <v>82</v>
      </c>
      <c r="D28" s="8" t="n">
        <f aca="false">K28+SUMIF('فواتير جديدة'!$F$4:$F$43,C28,'فواتير جديدة'!$G$4:$G$43)</f>
        <v>13</v>
      </c>
      <c r="E28" s="10" t="n">
        <v>6</v>
      </c>
      <c r="F28" s="8" t="n">
        <f aca="false">IF(E28="","",E28-D28)</f>
        <v>-7</v>
      </c>
      <c r="G28" s="8" t="str">
        <f aca="false">IF(E28="","لم يُجرد بعد",IF(F28=0,"مطابق",IF(F28&lt;0,"عجز","زيادة")))</f>
        <v>عجز</v>
      </c>
      <c r="H28" s="8" t="n">
        <v>390</v>
      </c>
      <c r="I28" s="8" t="n">
        <f aca="false">IF(E28="","",F28*H28)</f>
        <v>-2730</v>
      </c>
      <c r="J28" s="9"/>
      <c r="K28" s="11" t="n">
        <v>13</v>
      </c>
    </row>
    <row r="29" customFormat="false" ht="15" hidden="false" customHeight="true" outlineLevel="0" collapsed="false">
      <c r="A29" s="8" t="n">
        <v>26</v>
      </c>
      <c r="B29" s="9" t="s">
        <v>83</v>
      </c>
      <c r="C29" s="8" t="s">
        <v>84</v>
      </c>
      <c r="D29" s="8" t="n">
        <f aca="false">K29+SUMIF('فواتير جديدة'!$F$4:$F$43,C29,'فواتير جديدة'!$G$4:$G$43)</f>
        <v>3</v>
      </c>
      <c r="E29" s="10" t="n">
        <v>3</v>
      </c>
      <c r="F29" s="8" t="n">
        <f aca="false">IF(E29="","",E29-D29)</f>
        <v>0</v>
      </c>
      <c r="G29" s="8" t="str">
        <f aca="false">IF(E29="","لم يُجرد بعد",IF(F29=0,"مطابق",IF(F29&lt;0,"عجز","زيادة")))</f>
        <v>مطابق</v>
      </c>
      <c r="H29" s="8" t="n">
        <v>270</v>
      </c>
      <c r="I29" s="8" t="n">
        <f aca="false">IF(E29="","",F29*H29)</f>
        <v>0</v>
      </c>
      <c r="J29" s="9"/>
      <c r="K29" s="11" t="n">
        <v>3</v>
      </c>
    </row>
    <row r="30" customFormat="false" ht="15" hidden="false" customHeight="true" outlineLevel="0" collapsed="false">
      <c r="A30" s="8" t="n">
        <v>27</v>
      </c>
      <c r="B30" s="9" t="s">
        <v>85</v>
      </c>
      <c r="C30" s="8" t="s">
        <v>86</v>
      </c>
      <c r="D30" s="8" t="n">
        <f aca="false">K30+SUMIF('فواتير جديدة'!$F$4:$F$43,C30,'فواتير جديدة'!$G$4:$G$43)</f>
        <v>6</v>
      </c>
      <c r="E30" s="10" t="n">
        <v>5</v>
      </c>
      <c r="F30" s="8" t="n">
        <f aca="false">IF(E30="","",E30-D30)</f>
        <v>-1</v>
      </c>
      <c r="G30" s="8" t="str">
        <f aca="false">IF(E30="","لم يُجرد بعد",IF(F30=0,"مطابق",IF(F30&lt;0,"عجز","زيادة")))</f>
        <v>عجز</v>
      </c>
      <c r="H30" s="8" t="n">
        <v>290</v>
      </c>
      <c r="I30" s="8" t="n">
        <f aca="false">IF(E30="","",F30*H30)</f>
        <v>-290</v>
      </c>
      <c r="J30" s="9"/>
      <c r="K30" s="11" t="n">
        <v>6</v>
      </c>
    </row>
    <row r="31" customFormat="false" ht="15" hidden="false" customHeight="true" outlineLevel="0" collapsed="false">
      <c r="A31" s="8" t="n">
        <v>28</v>
      </c>
      <c r="B31" s="9" t="s">
        <v>87</v>
      </c>
      <c r="C31" s="8" t="s">
        <v>88</v>
      </c>
      <c r="D31" s="8" t="n">
        <f aca="false">K31+SUMIF('فواتير جديدة'!$F$4:$F$43,C31,'فواتير جديدة'!$G$4:$G$43)</f>
        <v>1</v>
      </c>
      <c r="E31" s="10" t="n">
        <v>0</v>
      </c>
      <c r="F31" s="8" t="n">
        <f aca="false">IF(E31="","",E31-D31)</f>
        <v>-1</v>
      </c>
      <c r="G31" s="8" t="str">
        <f aca="false">IF(E31="","لم يُجرد بعد",IF(F31=0,"مطابق",IF(F31&lt;0,"عجز","زيادة")))</f>
        <v>عجز</v>
      </c>
      <c r="H31" s="8" t="n">
        <v>295</v>
      </c>
      <c r="I31" s="8" t="n">
        <f aca="false">IF(E31="","",F31*H31)</f>
        <v>-295</v>
      </c>
      <c r="J31" s="9"/>
      <c r="K31" s="11" t="n">
        <v>1</v>
      </c>
    </row>
    <row r="32" customFormat="false" ht="15" hidden="false" customHeight="true" outlineLevel="0" collapsed="false">
      <c r="A32" s="8" t="n">
        <v>29</v>
      </c>
      <c r="B32" s="9" t="s">
        <v>89</v>
      </c>
      <c r="C32" s="8" t="s">
        <v>90</v>
      </c>
      <c r="D32" s="8" t="n">
        <f aca="false">K32+SUMIF('فواتير جديدة'!$F$4:$F$43,C32,'فواتير جديدة'!$G$4:$G$43)</f>
        <v>3</v>
      </c>
      <c r="E32" s="10" t="n">
        <v>2</v>
      </c>
      <c r="F32" s="8" t="n">
        <f aca="false">IF(E32="","",E32-D32)</f>
        <v>-1</v>
      </c>
      <c r="G32" s="8" t="str">
        <f aca="false">IF(E32="","لم يُجرد بعد",IF(F32=0,"مطابق",IF(F32&lt;0,"عجز","زيادة")))</f>
        <v>عجز</v>
      </c>
      <c r="H32" s="8" t="n">
        <v>450</v>
      </c>
      <c r="I32" s="8" t="n">
        <f aca="false">IF(E32="","",F32*H32)</f>
        <v>-450</v>
      </c>
      <c r="J32" s="9"/>
      <c r="K32" s="11" t="n">
        <v>3</v>
      </c>
    </row>
    <row r="33" customFormat="false" ht="15" hidden="false" customHeight="true" outlineLevel="0" collapsed="false">
      <c r="A33" s="8" t="n">
        <v>30</v>
      </c>
      <c r="B33" s="9" t="s">
        <v>91</v>
      </c>
      <c r="C33" s="8" t="s">
        <v>92</v>
      </c>
      <c r="D33" s="8" t="n">
        <f aca="false">K33+SUMIF('فواتير جديدة'!$F$4:$F$43,C33,'فواتير جديدة'!$G$4:$G$43)</f>
        <v>6</v>
      </c>
      <c r="E33" s="10" t="n">
        <v>1</v>
      </c>
      <c r="F33" s="8" t="n">
        <f aca="false">IF(E33="","",E33-D33)</f>
        <v>-5</v>
      </c>
      <c r="G33" s="8" t="str">
        <f aca="false">IF(E33="","لم يُجرد بعد",IF(F33=0,"مطابق",IF(F33&lt;0,"عجز","زيادة")))</f>
        <v>عجز</v>
      </c>
      <c r="H33" s="8" t="n">
        <v>370</v>
      </c>
      <c r="I33" s="8" t="n">
        <f aca="false">IF(E33="","",F33*H33)</f>
        <v>-1850</v>
      </c>
      <c r="J33" s="9"/>
      <c r="K33" s="11" t="n">
        <v>6</v>
      </c>
    </row>
    <row r="34" customFormat="false" ht="15" hidden="false" customHeight="true" outlineLevel="0" collapsed="false">
      <c r="A34" s="8" t="n">
        <v>31</v>
      </c>
      <c r="B34" s="9" t="s">
        <v>93</v>
      </c>
      <c r="C34" s="8" t="s">
        <v>94</v>
      </c>
      <c r="D34" s="8" t="n">
        <v>4</v>
      </c>
      <c r="E34" s="10" t="n">
        <v>1</v>
      </c>
      <c r="F34" s="8" t="n">
        <f aca="false">IF(E34="","",E34-D34)</f>
        <v>-3</v>
      </c>
      <c r="G34" s="8" t="str">
        <f aca="false">IF(E34="","لم يُجرد بعد",IF(F34=0,"مطابق",IF(F34&lt;0,"عجز","زيادة")))</f>
        <v>عجز</v>
      </c>
      <c r="H34" s="8" t="n">
        <v>410</v>
      </c>
      <c r="I34" s="8" t="n">
        <f aca="false">IF(E34="","",F34*H34)</f>
        <v>-1230</v>
      </c>
      <c r="J34" s="9"/>
      <c r="K34" s="11" t="n">
        <v>5</v>
      </c>
    </row>
    <row r="35" customFormat="false" ht="15" hidden="false" customHeight="true" outlineLevel="0" collapsed="false">
      <c r="A35" s="8" t="n">
        <v>32</v>
      </c>
      <c r="B35" s="9" t="s">
        <v>95</v>
      </c>
      <c r="C35" s="8" t="s">
        <v>96</v>
      </c>
      <c r="D35" s="8" t="n">
        <v>7</v>
      </c>
      <c r="E35" s="10" t="n">
        <v>1</v>
      </c>
      <c r="F35" s="8" t="n">
        <f aca="false">IF(E35="","",E35-D35)</f>
        <v>-6</v>
      </c>
      <c r="G35" s="8" t="str">
        <f aca="false">IF(E35="","لم يُجرد بعد",IF(F35=0,"مطابق",IF(F35&lt;0,"عجز","زيادة")))</f>
        <v>عجز</v>
      </c>
      <c r="H35" s="8" t="n">
        <v>370</v>
      </c>
      <c r="I35" s="8" t="n">
        <f aca="false">IF(E35="","",F35*H35)</f>
        <v>-2220</v>
      </c>
      <c r="J35" s="9"/>
      <c r="K35" s="11" t="n">
        <v>8</v>
      </c>
    </row>
    <row r="36" customFormat="false" ht="15" hidden="false" customHeight="true" outlineLevel="0" collapsed="false">
      <c r="A36" s="8" t="n">
        <v>33</v>
      </c>
      <c r="B36" s="9" t="s">
        <v>97</v>
      </c>
      <c r="C36" s="8" t="s">
        <v>98</v>
      </c>
      <c r="D36" s="8" t="n">
        <f aca="false">K36+SUMIF('فواتير جديدة'!$F$4:$F$43,C36,'فواتير جديدة'!$G$4:$G$43)</f>
        <v>4</v>
      </c>
      <c r="E36" s="10" t="n">
        <v>4</v>
      </c>
      <c r="F36" s="8" t="n">
        <f aca="false">IF(E36="","",E36-D36)</f>
        <v>0</v>
      </c>
      <c r="G36" s="8" t="str">
        <f aca="false">IF(E36="","لم يُجرد بعد",IF(F36=0,"مطابق",IF(F36&lt;0,"عجز","زيادة")))</f>
        <v>مطابق</v>
      </c>
      <c r="H36" s="8" t="n">
        <v>170</v>
      </c>
      <c r="I36" s="8" t="n">
        <f aca="false">IF(E36="","",F36*H36)</f>
        <v>0</v>
      </c>
      <c r="J36" s="9"/>
      <c r="K36" s="11" t="n">
        <v>4</v>
      </c>
    </row>
    <row r="37" customFormat="false" ht="15" hidden="false" customHeight="true" outlineLevel="0" collapsed="false">
      <c r="A37" s="8" t="n">
        <v>34</v>
      </c>
      <c r="B37" s="9" t="s">
        <v>99</v>
      </c>
      <c r="C37" s="8" t="s">
        <v>100</v>
      </c>
      <c r="D37" s="8" t="n">
        <f aca="false">K37+SUMIF('فواتير جديدة'!$F$4:$F$43,C37,'فواتير جديدة'!$G$4:$G$43)</f>
        <v>7</v>
      </c>
      <c r="E37" s="10" t="n">
        <v>7</v>
      </c>
      <c r="F37" s="8" t="n">
        <f aca="false">IF(E37="","",E37-D37)</f>
        <v>0</v>
      </c>
      <c r="G37" s="8" t="str">
        <f aca="false">IF(E37="","لم يُجرد بعد",IF(F37=0,"مطابق",IF(F37&lt;0,"عجز","زيادة")))</f>
        <v>مطابق</v>
      </c>
      <c r="H37" s="8" t="n">
        <v>300</v>
      </c>
      <c r="I37" s="8" t="n">
        <f aca="false">IF(E37="","",F37*H37)</f>
        <v>0</v>
      </c>
      <c r="J37" s="9"/>
      <c r="K37" s="11" t="n">
        <v>7</v>
      </c>
    </row>
    <row r="38" customFormat="false" ht="15" hidden="false" customHeight="true" outlineLevel="0" collapsed="false">
      <c r="A38" s="8" t="n">
        <v>35</v>
      </c>
      <c r="B38" s="9" t="s">
        <v>101</v>
      </c>
      <c r="C38" s="8" t="s">
        <v>102</v>
      </c>
      <c r="D38" s="8" t="n">
        <v>14</v>
      </c>
      <c r="E38" s="10" t="n">
        <v>7</v>
      </c>
      <c r="F38" s="8" t="n">
        <f aca="false">IF(E38="","",E38-D38)</f>
        <v>-7</v>
      </c>
      <c r="G38" s="8" t="str">
        <f aca="false">IF(E38="","لم يُجرد بعد",IF(F38=0,"مطابق",IF(F38&lt;0,"عجز","زيادة")))</f>
        <v>عجز</v>
      </c>
      <c r="H38" s="8" t="n">
        <v>210</v>
      </c>
      <c r="I38" s="8" t="n">
        <f aca="false">IF(E38="","",F38*H38)</f>
        <v>-1470</v>
      </c>
      <c r="J38" s="9"/>
      <c r="K38" s="11" t="n">
        <v>13</v>
      </c>
    </row>
    <row r="39" customFormat="false" ht="15" hidden="false" customHeight="true" outlineLevel="0" collapsed="false">
      <c r="A39" s="8" t="n">
        <v>36</v>
      </c>
      <c r="B39" s="9" t="s">
        <v>103</v>
      </c>
      <c r="C39" s="8" t="s">
        <v>104</v>
      </c>
      <c r="D39" s="8" t="n">
        <f aca="false">K39+SUMIF('فواتير جديدة'!$F$4:$F$43,C39,'فواتير جديدة'!$G$4:$G$43)</f>
        <v>2</v>
      </c>
      <c r="E39" s="10" t="n">
        <v>2</v>
      </c>
      <c r="F39" s="8" t="n">
        <f aca="false">IF(E39="","",E39-D39)</f>
        <v>0</v>
      </c>
      <c r="G39" s="8" t="str">
        <f aca="false">IF(E39="","لم يُجرد بعد",IF(F39=0,"مطابق",IF(F39&lt;0,"عجز","زيادة")))</f>
        <v>مطابق</v>
      </c>
      <c r="H39" s="8" t="n">
        <v>550</v>
      </c>
      <c r="I39" s="8" t="n">
        <f aca="false">IF(E39="","",F39*H39)</f>
        <v>0</v>
      </c>
      <c r="J39" s="9"/>
      <c r="K39" s="11" t="n">
        <v>2</v>
      </c>
    </row>
    <row r="40" customFormat="false" ht="15" hidden="false" customHeight="true" outlineLevel="0" collapsed="false">
      <c r="A40" s="8" t="n">
        <v>37</v>
      </c>
      <c r="B40" s="9" t="s">
        <v>105</v>
      </c>
      <c r="C40" s="8" t="s">
        <v>106</v>
      </c>
      <c r="D40" s="8" t="n">
        <f aca="false">K40+SUMIF('فواتير جديدة'!$F$4:$F$43,C40,'فواتير جديدة'!$G$4:$G$43)</f>
        <v>1</v>
      </c>
      <c r="E40" s="10" t="n">
        <v>0</v>
      </c>
      <c r="F40" s="8" t="n">
        <f aca="false">IF(E40="","",E40-D40)</f>
        <v>-1</v>
      </c>
      <c r="G40" s="8" t="str">
        <f aca="false">IF(E40="","لم يُجرد بعد",IF(F40=0,"مطابق",IF(F40&lt;0,"عجز","زيادة")))</f>
        <v>عجز</v>
      </c>
      <c r="H40" s="8" t="n">
        <v>480</v>
      </c>
      <c r="I40" s="8" t="n">
        <f aca="false">IF(E40="","",F40*H40)</f>
        <v>-480</v>
      </c>
      <c r="J40" s="9"/>
      <c r="K40" s="11" t="n">
        <v>1</v>
      </c>
    </row>
    <row r="41" customFormat="false" ht="15" hidden="false" customHeight="true" outlineLevel="0" collapsed="false">
      <c r="A41" s="8" t="n">
        <v>38</v>
      </c>
      <c r="B41" s="9" t="s">
        <v>107</v>
      </c>
      <c r="C41" s="8" t="s">
        <v>108</v>
      </c>
      <c r="D41" s="8" t="n">
        <f aca="false">K41+SUMIF('فواتير جديدة'!$F$4:$F$43,C41,'فواتير جديدة'!$G$4:$G$43)</f>
        <v>3</v>
      </c>
      <c r="E41" s="10" t="n">
        <v>3</v>
      </c>
      <c r="F41" s="8" t="n">
        <f aca="false">IF(E41="","",E41-D41)</f>
        <v>0</v>
      </c>
      <c r="G41" s="8" t="str">
        <f aca="false">IF(E41="","لم يُجرد بعد",IF(F41=0,"مطابق",IF(F41&lt;0,"عجز","زيادة")))</f>
        <v>مطابق</v>
      </c>
      <c r="H41" s="8" t="n">
        <v>550</v>
      </c>
      <c r="I41" s="8" t="n">
        <f aca="false">IF(E41="","",F41*H41)</f>
        <v>0</v>
      </c>
      <c r="J41" s="9"/>
      <c r="K41" s="11" t="n">
        <v>3</v>
      </c>
    </row>
    <row r="42" customFormat="false" ht="15" hidden="false" customHeight="true" outlineLevel="0" collapsed="false">
      <c r="A42" s="8" t="n">
        <v>39</v>
      </c>
      <c r="B42" s="9" t="s">
        <v>109</v>
      </c>
      <c r="C42" s="8" t="s">
        <v>110</v>
      </c>
      <c r="D42" s="8" t="n">
        <f aca="false">K42+SUMIF('فواتير جديدة'!$F$4:$F$43,C42,'فواتير جديدة'!$G$4:$G$43)</f>
        <v>4</v>
      </c>
      <c r="E42" s="10" t="n">
        <v>2</v>
      </c>
      <c r="F42" s="8" t="n">
        <f aca="false">IF(E42="","",E42-D42)</f>
        <v>-2</v>
      </c>
      <c r="G42" s="8" t="str">
        <f aca="false">IF(E42="","لم يُجرد بعد",IF(F42=0,"مطابق",IF(F42&lt;0,"عجز","زيادة")))</f>
        <v>عجز</v>
      </c>
      <c r="H42" s="8" t="n">
        <v>465</v>
      </c>
      <c r="I42" s="8" t="n">
        <f aca="false">IF(E42="","",F42*H42)</f>
        <v>-930</v>
      </c>
      <c r="J42" s="9"/>
      <c r="K42" s="11" t="n">
        <v>4</v>
      </c>
    </row>
    <row r="43" customFormat="false" ht="15" hidden="false" customHeight="true" outlineLevel="0" collapsed="false">
      <c r="A43" s="8" t="n">
        <v>40</v>
      </c>
      <c r="B43" s="9" t="s">
        <v>111</v>
      </c>
      <c r="C43" s="8" t="s">
        <v>112</v>
      </c>
      <c r="D43" s="8" t="n">
        <f aca="false">K43+SUMIF('فواتير جديدة'!$F$4:$F$43,C43,'فواتير جديدة'!$G$4:$G$43)</f>
        <v>4</v>
      </c>
      <c r="E43" s="10" t="n">
        <v>4</v>
      </c>
      <c r="F43" s="8" t="n">
        <f aca="false">IF(E43="","",E43-D43)</f>
        <v>0</v>
      </c>
      <c r="G43" s="8" t="str">
        <f aca="false">IF(E43="","لم يُجرد بعد",IF(F43=0,"مطابق",IF(F43&lt;0,"عجز","زيادة")))</f>
        <v>مطابق</v>
      </c>
      <c r="H43" s="8" t="n">
        <v>380</v>
      </c>
      <c r="I43" s="8" t="n">
        <f aca="false">IF(E43="","",F43*H43)</f>
        <v>0</v>
      </c>
      <c r="J43" s="9"/>
      <c r="K43" s="11" t="n">
        <v>4</v>
      </c>
    </row>
    <row r="44" customFormat="false" ht="15" hidden="false" customHeight="true" outlineLevel="0" collapsed="false">
      <c r="A44" s="8" t="n">
        <v>41</v>
      </c>
      <c r="B44" s="9" t="s">
        <v>113</v>
      </c>
      <c r="C44" s="8" t="s">
        <v>114</v>
      </c>
      <c r="D44" s="8" t="n">
        <f aca="false">K44+SUMIF('فواتير جديدة'!$F$4:$F$43,C44,'فواتير جديدة'!$G$4:$G$43)</f>
        <v>2</v>
      </c>
      <c r="E44" s="10" t="n">
        <v>1</v>
      </c>
      <c r="F44" s="8" t="n">
        <f aca="false">IF(E44="","",E44-D44)</f>
        <v>-1</v>
      </c>
      <c r="G44" s="8" t="str">
        <f aca="false">IF(E44="","لم يُجرد بعد",IF(F44=0,"مطابق",IF(F44&lt;0,"عجز","زيادة")))</f>
        <v>عجز</v>
      </c>
      <c r="H44" s="8" t="n">
        <v>375</v>
      </c>
      <c r="I44" s="8" t="n">
        <f aca="false">IF(E44="","",F44*H44)</f>
        <v>-375</v>
      </c>
      <c r="J44" s="9"/>
      <c r="K44" s="11" t="n">
        <v>2</v>
      </c>
    </row>
    <row r="45" customFormat="false" ht="15" hidden="false" customHeight="true" outlineLevel="0" collapsed="false">
      <c r="A45" s="8" t="n">
        <v>42</v>
      </c>
      <c r="B45" s="9" t="s">
        <v>115</v>
      </c>
      <c r="C45" s="8" t="s">
        <v>116</v>
      </c>
      <c r="D45" s="8" t="n">
        <f aca="false">K45+SUMIF('فواتير جديدة'!$F$4:$F$43,C45,'فواتير جديدة'!$G$4:$G$43)</f>
        <v>2</v>
      </c>
      <c r="E45" s="10" t="n">
        <v>2</v>
      </c>
      <c r="F45" s="8" t="n">
        <f aca="false">IF(E45="","",E45-D45)</f>
        <v>0</v>
      </c>
      <c r="G45" s="8" t="str">
        <f aca="false">IF(E45="","لم يُجرد بعد",IF(F45=0,"مطابق",IF(F45&lt;0,"عجز","زيادة")))</f>
        <v>مطابق</v>
      </c>
      <c r="H45" s="8" t="n">
        <v>380</v>
      </c>
      <c r="I45" s="8" t="n">
        <f aca="false">IF(E45="","",F45*H45)</f>
        <v>0</v>
      </c>
      <c r="J45" s="9"/>
      <c r="K45" s="11" t="n">
        <v>2</v>
      </c>
    </row>
    <row r="46" customFormat="false" ht="15" hidden="false" customHeight="true" outlineLevel="0" collapsed="false">
      <c r="A46" s="8" t="n">
        <v>43</v>
      </c>
      <c r="B46" s="9" t="s">
        <v>117</v>
      </c>
      <c r="C46" s="8" t="s">
        <v>118</v>
      </c>
      <c r="D46" s="8" t="n">
        <f aca="false">K46+SUMIF('فواتير جديدة'!$F$4:$F$43,C46,'فواتير جديدة'!$G$4:$G$43)</f>
        <v>14</v>
      </c>
      <c r="E46" s="10" t="n">
        <v>12</v>
      </c>
      <c r="F46" s="8" t="n">
        <f aca="false">IF(E46="","",E46-D46)</f>
        <v>-2</v>
      </c>
      <c r="G46" s="8" t="str">
        <f aca="false">IF(E46="","لم يُجرد بعد",IF(F46=0,"مطابق",IF(F46&lt;0,"عجز","زيادة")))</f>
        <v>عجز</v>
      </c>
      <c r="H46" s="8" t="n">
        <v>280</v>
      </c>
      <c r="I46" s="8" t="n">
        <f aca="false">IF(E46="","",F46*H46)</f>
        <v>-560</v>
      </c>
      <c r="J46" s="9"/>
      <c r="K46" s="11" t="n">
        <v>14</v>
      </c>
    </row>
    <row r="47" customFormat="false" ht="15" hidden="false" customHeight="true" outlineLevel="0" collapsed="false">
      <c r="A47" s="8" t="n">
        <v>44</v>
      </c>
      <c r="B47" s="9" t="s">
        <v>119</v>
      </c>
      <c r="C47" s="8" t="s">
        <v>120</v>
      </c>
      <c r="D47" s="8" t="n">
        <f aca="false">K47+SUMIF('فواتير جديدة'!$F$4:$F$43,C47,'فواتير جديدة'!$G$4:$G$43)</f>
        <v>7</v>
      </c>
      <c r="E47" s="10" t="n">
        <v>7</v>
      </c>
      <c r="F47" s="8" t="n">
        <f aca="false">IF(E47="","",E47-D47)</f>
        <v>0</v>
      </c>
      <c r="G47" s="8" t="str">
        <f aca="false">IF(E47="","لم يُجرد بعد",IF(F47=0,"مطابق",IF(F47&lt;0,"عجز","زيادة")))</f>
        <v>مطابق</v>
      </c>
      <c r="H47" s="8" t="n">
        <v>315</v>
      </c>
      <c r="I47" s="8" t="n">
        <f aca="false">IF(E47="","",F47*H47)</f>
        <v>0</v>
      </c>
      <c r="J47" s="9"/>
      <c r="K47" s="11" t="n">
        <v>7</v>
      </c>
    </row>
    <row r="48" customFormat="false" ht="15" hidden="false" customHeight="true" outlineLevel="0" collapsed="false">
      <c r="A48" s="8" t="n">
        <v>45</v>
      </c>
      <c r="B48" s="9" t="s">
        <v>121</v>
      </c>
      <c r="C48" s="8" t="s">
        <v>122</v>
      </c>
      <c r="D48" s="8" t="n">
        <f aca="false">K48+SUMIF('فواتير جديدة'!$F$4:$F$43,C48,'فواتير جديدة'!$G$4:$G$43)</f>
        <v>2</v>
      </c>
      <c r="E48" s="10" t="n">
        <v>2</v>
      </c>
      <c r="F48" s="8" t="n">
        <f aca="false">IF(E48="","",E48-D48)</f>
        <v>0</v>
      </c>
      <c r="G48" s="8" t="str">
        <f aca="false">IF(E48="","لم يُجرد بعد",IF(F48=0,"مطابق",IF(F48&lt;0,"عجز","زيادة")))</f>
        <v>مطابق</v>
      </c>
      <c r="H48" s="8" t="n">
        <v>550</v>
      </c>
      <c r="I48" s="8" t="n">
        <f aca="false">IF(E48="","",F48*H48)</f>
        <v>0</v>
      </c>
      <c r="J48" s="9"/>
      <c r="K48" s="11" t="n">
        <v>2</v>
      </c>
    </row>
    <row r="49" customFormat="false" ht="15" hidden="false" customHeight="true" outlineLevel="0" collapsed="false">
      <c r="A49" s="8" t="n">
        <v>46</v>
      </c>
      <c r="B49" s="9" t="s">
        <v>123</v>
      </c>
      <c r="C49" s="8" t="s">
        <v>124</v>
      </c>
      <c r="D49" s="8" t="n">
        <f aca="false">K49+SUMIF('فواتير جديدة'!$F$4:$F$43,C49,'فواتير جديدة'!$G$4:$G$43)</f>
        <v>6</v>
      </c>
      <c r="E49" s="10" t="n">
        <v>6</v>
      </c>
      <c r="F49" s="8" t="n">
        <f aca="false">IF(E49="","",E49-D49)</f>
        <v>0</v>
      </c>
      <c r="G49" s="8" t="str">
        <f aca="false">IF(E49="","لم يُجرد بعد",IF(F49=0,"مطابق",IF(F49&lt;0,"عجز","زيادة")))</f>
        <v>مطابق</v>
      </c>
      <c r="H49" s="8" t="n">
        <v>320</v>
      </c>
      <c r="I49" s="8" t="n">
        <f aca="false">IF(E49="","",F49*H49)</f>
        <v>0</v>
      </c>
      <c r="J49" s="9"/>
      <c r="K49" s="11" t="n">
        <v>6</v>
      </c>
    </row>
    <row r="50" customFormat="false" ht="15" hidden="false" customHeight="true" outlineLevel="0" collapsed="false">
      <c r="A50" s="8" t="n">
        <v>47</v>
      </c>
      <c r="B50" s="9" t="s">
        <v>125</v>
      </c>
      <c r="C50" s="8" t="s">
        <v>126</v>
      </c>
      <c r="D50" s="8" t="n">
        <f aca="false">K50+SUMIF('فواتير جديدة'!$F$4:$F$43,C50,'فواتير جديدة'!$G$4:$G$43)</f>
        <v>1</v>
      </c>
      <c r="E50" s="10" t="n">
        <v>1</v>
      </c>
      <c r="F50" s="8" t="n">
        <f aca="false">IF(E50="","",E50-D50)</f>
        <v>0</v>
      </c>
      <c r="G50" s="8" t="str">
        <f aca="false">IF(E50="","لم يُجرد بعد",IF(F50=0,"مطابق",IF(F50&lt;0,"عجز","زيادة")))</f>
        <v>مطابق</v>
      </c>
      <c r="H50" s="8" t="n">
        <v>450</v>
      </c>
      <c r="I50" s="8" t="n">
        <f aca="false">IF(E50="","",F50*H50)</f>
        <v>0</v>
      </c>
      <c r="J50" s="9"/>
      <c r="K50" s="11" t="n">
        <v>1</v>
      </c>
    </row>
    <row r="51" customFormat="false" ht="15" hidden="false" customHeight="true" outlineLevel="0" collapsed="false">
      <c r="A51" s="8" t="n">
        <v>48</v>
      </c>
      <c r="B51" s="9" t="s">
        <v>127</v>
      </c>
      <c r="C51" s="8" t="s">
        <v>128</v>
      </c>
      <c r="D51" s="8" t="n">
        <f aca="false">K51+SUMIF('فواتير جديدة'!$F$4:$F$43,C51,'فواتير جديدة'!$G$4:$G$43)</f>
        <v>1</v>
      </c>
      <c r="E51" s="10" t="n">
        <v>1</v>
      </c>
      <c r="F51" s="8" t="n">
        <f aca="false">IF(E51="","",E51-D51)</f>
        <v>0</v>
      </c>
      <c r="G51" s="8" t="str">
        <f aca="false">IF(E51="","لم يُجرد بعد",IF(F51=0,"مطابق",IF(F51&lt;0,"عجز","زيادة")))</f>
        <v>مطابق</v>
      </c>
      <c r="H51" s="8" t="n">
        <v>575</v>
      </c>
      <c r="I51" s="8" t="n">
        <f aca="false">IF(E51="","",F51*H51)</f>
        <v>0</v>
      </c>
      <c r="J51" s="9"/>
      <c r="K51" s="11" t="n">
        <v>1</v>
      </c>
    </row>
    <row r="52" customFormat="false" ht="15" hidden="false" customHeight="true" outlineLevel="0" collapsed="false">
      <c r="A52" s="8" t="n">
        <v>49</v>
      </c>
      <c r="B52" s="9" t="s">
        <v>129</v>
      </c>
      <c r="C52" s="8" t="s">
        <v>130</v>
      </c>
      <c r="D52" s="8" t="n">
        <f aca="false">K52+SUMIF('فواتير جديدة'!$F$4:$F$43,C52,'فواتير جديدة'!$G$4:$G$43)</f>
        <v>2</v>
      </c>
      <c r="E52" s="10" t="n">
        <v>2</v>
      </c>
      <c r="F52" s="8" t="n">
        <f aca="false">IF(E52="","",E52-D52)</f>
        <v>0</v>
      </c>
      <c r="G52" s="8" t="str">
        <f aca="false">IF(E52="","لم يُجرد بعد",IF(F52=0,"مطابق",IF(F52&lt;0,"عجز","زيادة")))</f>
        <v>مطابق</v>
      </c>
      <c r="H52" s="8" t="n">
        <v>550</v>
      </c>
      <c r="I52" s="8" t="n">
        <f aca="false">IF(E52="","",F52*H52)</f>
        <v>0</v>
      </c>
      <c r="J52" s="9"/>
      <c r="K52" s="11" t="n">
        <v>2</v>
      </c>
    </row>
    <row r="53" customFormat="false" ht="15" hidden="false" customHeight="true" outlineLevel="0" collapsed="false">
      <c r="A53" s="8" t="n">
        <v>50</v>
      </c>
      <c r="B53" s="9" t="s">
        <v>131</v>
      </c>
      <c r="C53" s="8" t="s">
        <v>132</v>
      </c>
      <c r="D53" s="8" t="n">
        <f aca="false">K53+SUMIF('فواتير جديدة'!$F$4:$F$43,C53,'فواتير جديدة'!$G$4:$G$43)</f>
        <v>1</v>
      </c>
      <c r="E53" s="10" t="n">
        <v>0</v>
      </c>
      <c r="F53" s="8" t="n">
        <f aca="false">IF(E53="","",E53-D53)</f>
        <v>-1</v>
      </c>
      <c r="G53" s="8" t="str">
        <f aca="false">IF(E53="","لم يُجرد بعد",IF(F53=0,"مطابق",IF(F53&lt;0,"عجز","زيادة")))</f>
        <v>عجز</v>
      </c>
      <c r="H53" s="8" t="n">
        <v>340</v>
      </c>
      <c r="I53" s="8" t="n">
        <f aca="false">IF(E53="","",F53*H53)</f>
        <v>-340</v>
      </c>
      <c r="J53" s="9"/>
      <c r="K53" s="11" t="n">
        <v>1</v>
      </c>
    </row>
    <row r="54" customFormat="false" ht="15" hidden="false" customHeight="true" outlineLevel="0" collapsed="false">
      <c r="A54" s="8" t="n">
        <v>51</v>
      </c>
      <c r="B54" s="9" t="s">
        <v>133</v>
      </c>
      <c r="C54" s="8" t="s">
        <v>134</v>
      </c>
      <c r="D54" s="8" t="n">
        <f aca="false">K54+SUMIF('فواتير جديدة'!$F$4:$F$43,C54,'فواتير جديدة'!$G$4:$G$43)</f>
        <v>1</v>
      </c>
      <c r="E54" s="10" t="n">
        <v>1</v>
      </c>
      <c r="F54" s="8" t="n">
        <f aca="false">IF(E54="","",E54-D54)</f>
        <v>0</v>
      </c>
      <c r="G54" s="8" t="str">
        <f aca="false">IF(E54="","لم يُجرد بعد",IF(F54=0,"مطابق",IF(F54&lt;0,"عجز","زيادة")))</f>
        <v>مطابق</v>
      </c>
      <c r="H54" s="8" t="n">
        <v>330</v>
      </c>
      <c r="I54" s="8" t="n">
        <f aca="false">IF(E54="","",F54*H54)</f>
        <v>0</v>
      </c>
      <c r="J54" s="9"/>
      <c r="K54" s="11" t="n">
        <v>1</v>
      </c>
    </row>
    <row r="55" customFormat="false" ht="15" hidden="false" customHeight="true" outlineLevel="0" collapsed="false">
      <c r="A55" s="8" t="n">
        <v>52</v>
      </c>
      <c r="B55" s="9" t="s">
        <v>135</v>
      </c>
      <c r="C55" s="8" t="s">
        <v>136</v>
      </c>
      <c r="D55" s="8" t="n">
        <f aca="false">K55+SUMIF('فواتير جديدة'!$F$4:$F$43,C55,'فواتير جديدة'!$G$4:$G$43)</f>
        <v>6</v>
      </c>
      <c r="E55" s="10" t="n">
        <v>6</v>
      </c>
      <c r="F55" s="8" t="n">
        <f aca="false">IF(E55="","",E55-D55)</f>
        <v>0</v>
      </c>
      <c r="G55" s="8" t="str">
        <f aca="false">IF(E55="","لم يُجرد بعد",IF(F55=0,"مطابق",IF(F55&lt;0,"عجز","زيادة")))</f>
        <v>مطابق</v>
      </c>
      <c r="H55" s="8" t="n">
        <v>510</v>
      </c>
      <c r="I55" s="8" t="n">
        <f aca="false">IF(E55="","",F55*H55)</f>
        <v>0</v>
      </c>
      <c r="J55" s="9"/>
      <c r="K55" s="11" t="n">
        <v>6</v>
      </c>
    </row>
    <row r="56" customFormat="false" ht="15" hidden="false" customHeight="true" outlineLevel="0" collapsed="false">
      <c r="A56" s="8" t="n">
        <v>53</v>
      </c>
      <c r="B56" s="9" t="s">
        <v>137</v>
      </c>
      <c r="C56" s="8" t="s">
        <v>138</v>
      </c>
      <c r="D56" s="8" t="n">
        <f aca="false">K56+SUMIF('فواتير جديدة'!$F$4:$F$43,C56,'فواتير جديدة'!$G$4:$G$43)</f>
        <v>23</v>
      </c>
      <c r="E56" s="10" t="n">
        <v>22</v>
      </c>
      <c r="F56" s="8" t="n">
        <f aca="false">IF(E56="","",E56-D56)</f>
        <v>-1</v>
      </c>
      <c r="G56" s="8" t="str">
        <f aca="false">IF(E56="","لم يُجرد بعد",IF(F56=0,"مطابق",IF(F56&lt;0,"عجز","زيادة")))</f>
        <v>عجز</v>
      </c>
      <c r="H56" s="8" t="n">
        <v>330</v>
      </c>
      <c r="I56" s="8" t="n">
        <f aca="false">IF(E56="","",F56*H56)</f>
        <v>-330</v>
      </c>
      <c r="J56" s="9"/>
      <c r="K56" s="11" t="n">
        <v>23</v>
      </c>
    </row>
    <row r="57" customFormat="false" ht="15" hidden="false" customHeight="true" outlineLevel="0" collapsed="false">
      <c r="A57" s="8" t="n">
        <v>54</v>
      </c>
      <c r="B57" s="9" t="s">
        <v>139</v>
      </c>
      <c r="C57" s="8" t="s">
        <v>140</v>
      </c>
      <c r="D57" s="8" t="n">
        <f aca="false">K57+SUMIF('فواتير جديدة'!$F$4:$F$43,C57,'فواتير جديدة'!$G$4:$G$43)</f>
        <v>1</v>
      </c>
      <c r="E57" s="10" t="n">
        <v>1</v>
      </c>
      <c r="F57" s="8" t="n">
        <f aca="false">IF(E57="","",E57-D57)</f>
        <v>0</v>
      </c>
      <c r="G57" s="8" t="str">
        <f aca="false">IF(E57="","لم يُجرد بعد",IF(F57=0,"مطابق",IF(F57&lt;0,"عجز","زيادة")))</f>
        <v>مطابق</v>
      </c>
      <c r="H57" s="8" t="n">
        <v>430</v>
      </c>
      <c r="I57" s="8" t="n">
        <f aca="false">IF(E57="","",F57*H57)</f>
        <v>0</v>
      </c>
      <c r="J57" s="9"/>
      <c r="K57" s="11" t="n">
        <v>1</v>
      </c>
    </row>
    <row r="58" customFormat="false" ht="15" hidden="false" customHeight="true" outlineLevel="0" collapsed="false">
      <c r="A58" s="8" t="n">
        <v>55</v>
      </c>
      <c r="B58" s="9" t="s">
        <v>141</v>
      </c>
      <c r="C58" s="8" t="s">
        <v>142</v>
      </c>
      <c r="D58" s="8" t="n">
        <f aca="false">K58+SUMIF('فواتير جديدة'!$F$4:$F$43,C58,'فواتير جديدة'!$G$4:$G$43)</f>
        <v>3</v>
      </c>
      <c r="E58" s="10" t="n">
        <v>3</v>
      </c>
      <c r="F58" s="8" t="n">
        <f aca="false">IF(E58="","",E58-D58)</f>
        <v>0</v>
      </c>
      <c r="G58" s="8" t="str">
        <f aca="false">IF(E58="","لم يُجرد بعد",IF(F58=0,"مطابق",IF(F58&lt;0,"عجز","زيادة")))</f>
        <v>مطابق</v>
      </c>
      <c r="H58" s="8" t="n">
        <v>360</v>
      </c>
      <c r="I58" s="8" t="n">
        <f aca="false">IF(E58="","",F58*H58)</f>
        <v>0</v>
      </c>
      <c r="J58" s="9"/>
      <c r="K58" s="11" t="n">
        <v>3</v>
      </c>
    </row>
    <row r="59" customFormat="false" ht="15" hidden="false" customHeight="true" outlineLevel="0" collapsed="false">
      <c r="A59" s="8" t="n">
        <v>56</v>
      </c>
      <c r="B59" s="9" t="s">
        <v>143</v>
      </c>
      <c r="C59" s="8" t="s">
        <v>144</v>
      </c>
      <c r="D59" s="8" t="n">
        <f aca="false">K59+SUMIF('فواتير جديدة'!$F$4:$F$43,C59,'فواتير جديدة'!$G$4:$G$43)</f>
        <v>2</v>
      </c>
      <c r="E59" s="10" t="n">
        <v>1</v>
      </c>
      <c r="F59" s="8" t="n">
        <f aca="false">IF(E59="","",E59-D59)</f>
        <v>-1</v>
      </c>
      <c r="G59" s="8" t="str">
        <f aca="false">IF(E59="","لم يُجرد بعد",IF(F59=0,"مطابق",IF(F59&lt;0,"عجز","زيادة")))</f>
        <v>عجز</v>
      </c>
      <c r="H59" s="8" t="n">
        <v>310</v>
      </c>
      <c r="I59" s="8" t="n">
        <f aca="false">IF(E59="","",F59*H59)</f>
        <v>-310</v>
      </c>
      <c r="J59" s="9"/>
      <c r="K59" s="11" t="n">
        <v>2</v>
      </c>
    </row>
    <row r="60" customFormat="false" ht="15" hidden="false" customHeight="true" outlineLevel="0" collapsed="false">
      <c r="A60" s="8" t="n">
        <v>57</v>
      </c>
      <c r="B60" s="9" t="s">
        <v>145</v>
      </c>
      <c r="C60" s="8" t="s">
        <v>146</v>
      </c>
      <c r="D60" s="8" t="n">
        <f aca="false">K60+SUMIF('فواتير جديدة'!$F$4:$F$43,C60,'فواتير جديدة'!$G$4:$G$43)</f>
        <v>15</v>
      </c>
      <c r="E60" s="10" t="n">
        <v>10</v>
      </c>
      <c r="F60" s="8" t="n">
        <f aca="false">IF(E60="","",E60-D60)</f>
        <v>-5</v>
      </c>
      <c r="G60" s="8" t="str">
        <f aca="false">IF(E60="","لم يُجرد بعد",IF(F60=0,"مطابق",IF(F60&lt;0,"عجز","زيادة")))</f>
        <v>عجز</v>
      </c>
      <c r="H60" s="8" t="n">
        <v>330</v>
      </c>
      <c r="I60" s="8" t="n">
        <f aca="false">IF(E60="","",F60*H60)</f>
        <v>-1650</v>
      </c>
      <c r="J60" s="9"/>
      <c r="K60" s="11" t="n">
        <v>15</v>
      </c>
    </row>
    <row r="61" customFormat="false" ht="15" hidden="false" customHeight="true" outlineLevel="0" collapsed="false">
      <c r="A61" s="8" t="n">
        <v>58</v>
      </c>
      <c r="B61" s="9" t="s">
        <v>147</v>
      </c>
      <c r="C61" s="8" t="s">
        <v>148</v>
      </c>
      <c r="D61" s="8" t="n">
        <f aca="false">K61+SUMIF('فواتير جديدة'!$F$4:$F$43,C61,'فواتير جديدة'!$G$4:$G$43)</f>
        <v>3</v>
      </c>
      <c r="E61" s="10" t="n">
        <v>2</v>
      </c>
      <c r="F61" s="8" t="n">
        <f aca="false">IF(E61="","",E61-D61)</f>
        <v>-1</v>
      </c>
      <c r="G61" s="8" t="str">
        <f aca="false">IF(E61="","لم يُجرد بعد",IF(F61=0,"مطابق",IF(F61&lt;0,"عجز","زيادة")))</f>
        <v>عجز</v>
      </c>
      <c r="H61" s="8" t="n">
        <v>320</v>
      </c>
      <c r="I61" s="8" t="n">
        <f aca="false">IF(E61="","",F61*H61)</f>
        <v>-320</v>
      </c>
      <c r="J61" s="9"/>
      <c r="K61" s="11" t="n">
        <v>3</v>
      </c>
    </row>
    <row r="62" customFormat="false" ht="15" hidden="false" customHeight="true" outlineLevel="0" collapsed="false">
      <c r="A62" s="8" t="n">
        <v>59</v>
      </c>
      <c r="B62" s="9" t="s">
        <v>149</v>
      </c>
      <c r="C62" s="8" t="s">
        <v>150</v>
      </c>
      <c r="D62" s="8" t="n">
        <f aca="false">K62+SUMIF('فواتير جديدة'!$F$4:$F$43,C62,'فواتير جديدة'!$G$4:$G$43)</f>
        <v>10</v>
      </c>
      <c r="E62" s="10" t="n">
        <v>7</v>
      </c>
      <c r="F62" s="8" t="n">
        <f aca="false">IF(E62="","",E62-D62)</f>
        <v>-3</v>
      </c>
      <c r="G62" s="8" t="str">
        <f aca="false">IF(E62="","لم يُجرد بعد",IF(F62=0,"مطابق",IF(F62&lt;0,"عجز","زيادة")))</f>
        <v>عجز</v>
      </c>
      <c r="H62" s="8" t="n">
        <v>340</v>
      </c>
      <c r="I62" s="8" t="n">
        <f aca="false">IF(E62="","",F62*H62)</f>
        <v>-1020</v>
      </c>
      <c r="J62" s="9"/>
      <c r="K62" s="11" t="n">
        <v>10</v>
      </c>
    </row>
    <row r="63" customFormat="false" ht="15" hidden="false" customHeight="true" outlineLevel="0" collapsed="false">
      <c r="A63" s="8" t="n">
        <v>60</v>
      </c>
      <c r="B63" s="9" t="s">
        <v>151</v>
      </c>
      <c r="C63" s="8" t="s">
        <v>152</v>
      </c>
      <c r="D63" s="8" t="n">
        <f aca="false">K63+SUMIF('فواتير جديدة'!$F$4:$F$43,C63,'فواتير جديدة'!$G$4:$G$43)</f>
        <v>3</v>
      </c>
      <c r="E63" s="10" t="n">
        <v>2</v>
      </c>
      <c r="F63" s="8" t="n">
        <f aca="false">IF(E63="","",E63-D63)</f>
        <v>-1</v>
      </c>
      <c r="G63" s="8" t="str">
        <f aca="false">IF(E63="","لم يُجرد بعد",IF(F63=0,"مطابق",IF(F63&lt;0,"عجز","زيادة")))</f>
        <v>عجز</v>
      </c>
      <c r="H63" s="8" t="n">
        <v>390</v>
      </c>
      <c r="I63" s="8" t="n">
        <f aca="false">IF(E63="","",F63*H63)</f>
        <v>-390</v>
      </c>
      <c r="J63" s="9"/>
      <c r="K63" s="11" t="n">
        <v>3</v>
      </c>
    </row>
    <row r="64" customFormat="false" ht="15" hidden="false" customHeight="true" outlineLevel="0" collapsed="false">
      <c r="A64" s="8" t="n">
        <v>61</v>
      </c>
      <c r="B64" s="9" t="s">
        <v>153</v>
      </c>
      <c r="C64" s="8" t="s">
        <v>154</v>
      </c>
      <c r="D64" s="8" t="n">
        <f aca="false">K64+SUMIF('فواتير جديدة'!$F$4:$F$43,C64,'فواتير جديدة'!$G$4:$G$43)</f>
        <v>1</v>
      </c>
      <c r="E64" s="10" t="n">
        <v>1</v>
      </c>
      <c r="F64" s="8" t="n">
        <f aca="false">IF(E64="","",E64-D64)</f>
        <v>0</v>
      </c>
      <c r="G64" s="8" t="str">
        <f aca="false">IF(E64="","لم يُجرد بعد",IF(F64=0,"مطابق",IF(F64&lt;0,"عجز","زيادة")))</f>
        <v>مطابق</v>
      </c>
      <c r="H64" s="8" t="n">
        <v>330</v>
      </c>
      <c r="I64" s="8" t="n">
        <f aca="false">IF(E64="","",F64*H64)</f>
        <v>0</v>
      </c>
      <c r="J64" s="9"/>
      <c r="K64" s="11" t="n">
        <v>1</v>
      </c>
    </row>
    <row r="65" customFormat="false" ht="15" hidden="false" customHeight="true" outlineLevel="0" collapsed="false">
      <c r="A65" s="8" t="n">
        <v>62</v>
      </c>
      <c r="B65" s="9" t="s">
        <v>155</v>
      </c>
      <c r="C65" s="8" t="s">
        <v>156</v>
      </c>
      <c r="D65" s="8" t="n">
        <f aca="false">K65+SUMIF('فواتير جديدة'!$F$4:$F$43,C65,'فواتير جديدة'!$G$4:$G$43)</f>
        <v>6</v>
      </c>
      <c r="E65" s="10" t="n">
        <v>4</v>
      </c>
      <c r="F65" s="8" t="n">
        <f aca="false">IF(E65="","",E65-D65)</f>
        <v>-2</v>
      </c>
      <c r="G65" s="8" t="str">
        <f aca="false">IF(E65="","لم يُجرد بعد",IF(F65=0,"مطابق",IF(F65&lt;0,"عجز","زيادة")))</f>
        <v>عجز</v>
      </c>
      <c r="H65" s="8" t="n">
        <v>160</v>
      </c>
      <c r="I65" s="8" t="n">
        <f aca="false">IF(E65="","",F65*H65)</f>
        <v>-320</v>
      </c>
      <c r="J65" s="9"/>
      <c r="K65" s="11" t="n">
        <v>6</v>
      </c>
    </row>
    <row r="66" customFormat="false" ht="15" hidden="false" customHeight="true" outlineLevel="0" collapsed="false">
      <c r="A66" s="8" t="n">
        <v>63</v>
      </c>
      <c r="B66" s="9" t="s">
        <v>157</v>
      </c>
      <c r="C66" s="8" t="s">
        <v>158</v>
      </c>
      <c r="D66" s="8" t="n">
        <f aca="false">K66+SUMIF('فواتير جديدة'!$F$4:$F$43,C66,'فواتير جديدة'!$G$4:$G$43)</f>
        <v>5</v>
      </c>
      <c r="E66" s="10" t="n">
        <v>3</v>
      </c>
      <c r="F66" s="8" t="n">
        <f aca="false">IF(E66="","",E66-D66)</f>
        <v>-2</v>
      </c>
      <c r="G66" s="8" t="str">
        <f aca="false">IF(E66="","لم يُجرد بعد",IF(F66=0,"مطابق",IF(F66&lt;0,"عجز","زيادة")))</f>
        <v>عجز</v>
      </c>
      <c r="H66" s="8" t="n">
        <v>115</v>
      </c>
      <c r="I66" s="8" t="n">
        <f aca="false">IF(E66="","",F66*H66)</f>
        <v>-230</v>
      </c>
      <c r="J66" s="9"/>
      <c r="K66" s="11" t="n">
        <v>5</v>
      </c>
    </row>
    <row r="67" customFormat="false" ht="15" hidden="false" customHeight="true" outlineLevel="0" collapsed="false">
      <c r="A67" s="8" t="n">
        <v>64</v>
      </c>
      <c r="B67" s="9" t="s">
        <v>159</v>
      </c>
      <c r="C67" s="8" t="s">
        <v>160</v>
      </c>
      <c r="D67" s="8" t="n">
        <f aca="false">K67+SUMIF('فواتير جديدة'!$F$4:$F$43,C67,'فواتير جديدة'!$G$4:$G$43)</f>
        <v>2</v>
      </c>
      <c r="E67" s="10" t="n">
        <v>1</v>
      </c>
      <c r="F67" s="8" t="n">
        <f aca="false">IF(E67="","",E67-D67)</f>
        <v>-1</v>
      </c>
      <c r="G67" s="8" t="str">
        <f aca="false">IF(E67="","لم يُجرد بعد",IF(F67=0,"مطابق",IF(F67&lt;0,"عجز","زيادة")))</f>
        <v>عجز</v>
      </c>
      <c r="H67" s="8" t="n">
        <v>210</v>
      </c>
      <c r="I67" s="8" t="n">
        <f aca="false">IF(E67="","",F67*H67)</f>
        <v>-210</v>
      </c>
      <c r="J67" s="9"/>
      <c r="K67" s="11" t="n">
        <v>2</v>
      </c>
    </row>
    <row r="68" customFormat="false" ht="15" hidden="false" customHeight="true" outlineLevel="0" collapsed="false">
      <c r="A68" s="8" t="n">
        <v>65</v>
      </c>
      <c r="B68" s="9" t="s">
        <v>161</v>
      </c>
      <c r="C68" s="8" t="s">
        <v>162</v>
      </c>
      <c r="D68" s="8" t="n">
        <f aca="false">K68+SUMIF('فواتير جديدة'!$F$4:$F$43,C68,'فواتير جديدة'!$G$4:$G$43)</f>
        <v>34</v>
      </c>
      <c r="E68" s="10" t="n">
        <v>31</v>
      </c>
      <c r="F68" s="8" t="n">
        <f aca="false">IF(E68="","",E68-D68)</f>
        <v>-3</v>
      </c>
      <c r="G68" s="8" t="str">
        <f aca="false">IF(E68="","لم يُجرد بعد",IF(F68=0,"مطابق",IF(F68&lt;0,"عجز","زيادة")))</f>
        <v>عجز</v>
      </c>
      <c r="H68" s="8" t="n">
        <v>315</v>
      </c>
      <c r="I68" s="8" t="n">
        <f aca="false">IF(E68="","",F68*H68)</f>
        <v>-945</v>
      </c>
      <c r="J68" s="9"/>
      <c r="K68" s="11" t="n">
        <v>34</v>
      </c>
    </row>
    <row r="69" customFormat="false" ht="15" hidden="false" customHeight="true" outlineLevel="0" collapsed="false">
      <c r="A69" s="8" t="n">
        <v>66</v>
      </c>
      <c r="B69" s="9" t="s">
        <v>163</v>
      </c>
      <c r="C69" s="8" t="s">
        <v>164</v>
      </c>
      <c r="D69" s="8" t="n">
        <f aca="false">K69+SUMIF('فواتير جديدة'!$F$4:$F$43,C69,'فواتير جديدة'!$G$4:$G$43)</f>
        <v>100</v>
      </c>
      <c r="E69" s="10" t="n">
        <v>98</v>
      </c>
      <c r="F69" s="8" t="n">
        <f aca="false">IF(E69="","",E69-D69)</f>
        <v>-2</v>
      </c>
      <c r="G69" s="8" t="str">
        <f aca="false">IF(E69="","لم يُجرد بعد",IF(F69=0,"مطابق",IF(F69&lt;0,"عجز","زيادة")))</f>
        <v>عجز</v>
      </c>
      <c r="H69" s="8" t="n">
        <v>0</v>
      </c>
      <c r="I69" s="8" t="n">
        <f aca="false">IF(E69="","",F69*H69)</f>
        <v>-0</v>
      </c>
      <c r="J69" s="9"/>
      <c r="K69" s="11" t="n">
        <v>100</v>
      </c>
    </row>
    <row r="70" customFormat="false" ht="15" hidden="false" customHeight="true" outlineLevel="0" collapsed="false">
      <c r="A70" s="8" t="n">
        <v>67</v>
      </c>
      <c r="B70" s="9" t="s">
        <v>165</v>
      </c>
      <c r="C70" s="8" t="s">
        <v>166</v>
      </c>
      <c r="D70" s="8" t="n">
        <f aca="false">K70+SUMIF('فواتير جديدة'!$F$4:$F$43,C70,'فواتير جديدة'!$G$4:$G$43)</f>
        <v>24</v>
      </c>
      <c r="E70" s="10" t="n">
        <v>20</v>
      </c>
      <c r="F70" s="8" t="n">
        <f aca="false">IF(E70="","",E70-D70)</f>
        <v>-4</v>
      </c>
      <c r="G70" s="8" t="str">
        <f aca="false">IF(E70="","لم يُجرد بعد",IF(F70=0,"مطابق",IF(F70&lt;0,"عجز","زيادة")))</f>
        <v>عجز</v>
      </c>
      <c r="H70" s="8" t="n">
        <v>320</v>
      </c>
      <c r="I70" s="8" t="n">
        <f aca="false">IF(E70="","",F70*H70)</f>
        <v>-1280</v>
      </c>
      <c r="J70" s="9"/>
      <c r="K70" s="11" t="n">
        <v>0</v>
      </c>
    </row>
    <row r="71" customFormat="false" ht="15" hidden="false" customHeight="true" outlineLevel="0" collapsed="false">
      <c r="A71" s="8" t="n">
        <v>68</v>
      </c>
      <c r="B71" s="9" t="s">
        <v>167</v>
      </c>
      <c r="C71" s="8" t="s">
        <v>168</v>
      </c>
      <c r="D71" s="8" t="n">
        <f aca="false">K71+SUMIF('فواتير جديدة'!$F$4:$F$43,C71,'فواتير جديدة'!$G$4:$G$43)</f>
        <v>4</v>
      </c>
      <c r="E71" s="10" t="n">
        <v>2</v>
      </c>
      <c r="F71" s="8" t="n">
        <f aca="false">IF(E71="","",E71-D71)</f>
        <v>-2</v>
      </c>
      <c r="G71" s="8" t="str">
        <f aca="false">IF(E71="","لم يُجرد بعد",IF(F71=0,"مطابق",IF(F71&lt;0,"عجز","زيادة")))</f>
        <v>عجز</v>
      </c>
      <c r="H71" s="8" t="n">
        <v>415</v>
      </c>
      <c r="I71" s="8" t="n">
        <f aca="false">IF(E71="","",F71*H71)</f>
        <v>-830</v>
      </c>
      <c r="J71" s="9"/>
      <c r="K71" s="11" t="n">
        <v>0</v>
      </c>
    </row>
    <row r="72" customFormat="false" ht="15" hidden="false" customHeight="true" outlineLevel="0" collapsed="false">
      <c r="A72" s="8" t="n">
        <v>69</v>
      </c>
      <c r="B72" s="9" t="s">
        <v>169</v>
      </c>
      <c r="C72" s="8" t="s">
        <v>170</v>
      </c>
      <c r="D72" s="8" t="n">
        <f aca="false">K72+SUMIF('فواتير جديدة'!$F$4:$F$43,C72,'فواتير جديدة'!$G$4:$G$43)</f>
        <v>2</v>
      </c>
      <c r="E72" s="10" t="n">
        <v>2</v>
      </c>
      <c r="F72" s="8" t="n">
        <f aca="false">IF(E72="","",E72-D72)</f>
        <v>0</v>
      </c>
      <c r="G72" s="8" t="str">
        <f aca="false">IF(E72="","لم يُجرد بعد",IF(F72=0,"مطابق",IF(F72&lt;0,"عجز","زيادة")))</f>
        <v>مطابق</v>
      </c>
      <c r="H72" s="8" t="n">
        <v>395</v>
      </c>
      <c r="I72" s="8" t="n">
        <f aca="false">IF(E72="","",F72*H72)</f>
        <v>0</v>
      </c>
      <c r="J72" s="9"/>
      <c r="K72" s="11" t="n">
        <v>0</v>
      </c>
    </row>
    <row r="73" customFormat="false" ht="15" hidden="false" customHeight="true" outlineLevel="0" collapsed="false">
      <c r="A73" s="8" t="n">
        <v>70</v>
      </c>
      <c r="B73" s="9" t="s">
        <v>171</v>
      </c>
      <c r="C73" s="8" t="s">
        <v>172</v>
      </c>
      <c r="D73" s="8" t="n">
        <f aca="false">K73+SUMIF('فواتير جديدة'!$F$4:$F$43,C73,'فواتير جديدة'!$G$4:$G$43)</f>
        <v>8</v>
      </c>
      <c r="E73" s="10" t="n">
        <v>4</v>
      </c>
      <c r="F73" s="8" t="n">
        <f aca="false">IF(E73="","",E73-D73)</f>
        <v>-4</v>
      </c>
      <c r="G73" s="8" t="str">
        <f aca="false">IF(E73="","لم يُجرد بعد",IF(F73=0,"مطابق",IF(F73&lt;0,"عجز","زيادة")))</f>
        <v>عجز</v>
      </c>
      <c r="H73" s="8" t="n">
        <v>490</v>
      </c>
      <c r="I73" s="8" t="n">
        <f aca="false">IF(E73="","",F73*H73)</f>
        <v>-1960</v>
      </c>
      <c r="J73" s="9"/>
      <c r="K73" s="11" t="n">
        <v>0</v>
      </c>
    </row>
    <row r="74" customFormat="false" ht="15" hidden="false" customHeight="true" outlineLevel="0" collapsed="false">
      <c r="A74" s="8" t="n">
        <v>71</v>
      </c>
      <c r="B74" s="9" t="s">
        <v>173</v>
      </c>
      <c r="C74" s="8" t="s">
        <v>174</v>
      </c>
      <c r="D74" s="8" t="n">
        <f aca="false">K74+SUMIF('فواتير جديدة'!$F$4:$F$43,C74,'فواتير جديدة'!$G$4:$G$43)</f>
        <v>2</v>
      </c>
      <c r="E74" s="10" t="n">
        <v>2</v>
      </c>
      <c r="F74" s="8" t="n">
        <f aca="false">IF(E74="","",E74-D74)</f>
        <v>0</v>
      </c>
      <c r="G74" s="8" t="str">
        <f aca="false">IF(E74="","لم يُجرد بعد",IF(F74=0,"مطابق",IF(F74&lt;0,"عجز","زيادة")))</f>
        <v>مطابق</v>
      </c>
      <c r="H74" s="8" t="n">
        <v>400</v>
      </c>
      <c r="I74" s="8" t="n">
        <f aca="false">IF(E74="","",F74*H74)</f>
        <v>0</v>
      </c>
      <c r="J74" s="9"/>
      <c r="K74" s="11" t="n">
        <v>0</v>
      </c>
    </row>
    <row r="75" customFormat="false" ht="15" hidden="false" customHeight="true" outlineLevel="0" collapsed="false">
      <c r="A75" s="8" t="n">
        <v>72</v>
      </c>
      <c r="B75" s="9" t="s">
        <v>175</v>
      </c>
      <c r="C75" s="8" t="s">
        <v>176</v>
      </c>
      <c r="D75" s="8" t="n">
        <f aca="false">K75+SUMIF('فواتير جديدة'!$F$4:$F$43,C75,'فواتير جديدة'!$G$4:$G$43)</f>
        <v>10</v>
      </c>
      <c r="E75" s="10" t="n">
        <v>7</v>
      </c>
      <c r="F75" s="8" t="n">
        <f aca="false">IF(E75="","",E75-D75)</f>
        <v>-3</v>
      </c>
      <c r="G75" s="8" t="str">
        <f aca="false">IF(E75="","لم يُجرد بعد",IF(F75=0,"مطابق",IF(F75&lt;0,"عجز","زيادة")))</f>
        <v>عجز</v>
      </c>
      <c r="H75" s="8" t="n">
        <v>460</v>
      </c>
      <c r="I75" s="8" t="n">
        <f aca="false">IF(E75="","",F75*H75)</f>
        <v>-1380</v>
      </c>
      <c r="J75" s="9"/>
      <c r="K75" s="11" t="n">
        <v>0</v>
      </c>
    </row>
    <row r="76" customFormat="false" ht="15" hidden="false" customHeight="true" outlineLevel="0" collapsed="false">
      <c r="A76" s="8" t="n">
        <v>73</v>
      </c>
      <c r="B76" s="9" t="s">
        <v>177</v>
      </c>
      <c r="C76" s="8" t="s">
        <v>178</v>
      </c>
      <c r="D76" s="8" t="n">
        <f aca="false">K76+SUMIF('فواتير جديدة'!$F$4:$F$43,C76,'فواتير جديدة'!$G$4:$G$43)</f>
        <v>10</v>
      </c>
      <c r="E76" s="10" t="n">
        <v>6</v>
      </c>
      <c r="F76" s="8" t="n">
        <f aca="false">IF(E76="","",E76-D76)</f>
        <v>-4</v>
      </c>
      <c r="G76" s="8" t="str">
        <f aca="false">IF(E76="","لم يُجرد بعد",IF(F76=0,"مطابق",IF(F76&lt;0,"عجز","زيادة")))</f>
        <v>عجز</v>
      </c>
      <c r="H76" s="8" t="n">
        <v>390</v>
      </c>
      <c r="I76" s="8" t="n">
        <f aca="false">IF(E76="","",F76*H76)</f>
        <v>-1560</v>
      </c>
      <c r="J76" s="9"/>
      <c r="K76" s="11" t="n">
        <v>0</v>
      </c>
    </row>
    <row r="77" customFormat="false" ht="15" hidden="false" customHeight="true" outlineLevel="0" collapsed="false">
      <c r="A77" s="8" t="n">
        <v>74</v>
      </c>
      <c r="B77" s="9" t="s">
        <v>179</v>
      </c>
      <c r="C77" s="8" t="s">
        <v>180</v>
      </c>
      <c r="D77" s="8" t="n">
        <f aca="false">K77+SUMIF('فواتير جديدة'!$F$4:$F$43,C77,'فواتير جديدة'!$G$4:$G$43)</f>
        <v>8</v>
      </c>
      <c r="E77" s="10" t="n">
        <v>4</v>
      </c>
      <c r="F77" s="8" t="n">
        <f aca="false">IF(E77="","",E77-D77)</f>
        <v>-4</v>
      </c>
      <c r="G77" s="8" t="str">
        <f aca="false">IF(E77="","لم يُجرد بعد",IF(F77=0,"مطابق",IF(F77&lt;0,"عجز","زيادة")))</f>
        <v>عجز</v>
      </c>
      <c r="H77" s="8" t="n">
        <v>360</v>
      </c>
      <c r="I77" s="8" t="n">
        <f aca="false">IF(E77="","",F77*H77)</f>
        <v>-1440</v>
      </c>
      <c r="J77" s="9"/>
      <c r="K77" s="11" t="n">
        <v>0</v>
      </c>
    </row>
    <row r="78" customFormat="false" ht="15" hidden="false" customHeight="true" outlineLevel="0" collapsed="false">
      <c r="A78" s="8" t="n">
        <v>75</v>
      </c>
      <c r="B78" s="9" t="s">
        <v>181</v>
      </c>
      <c r="C78" s="8" t="s">
        <v>182</v>
      </c>
      <c r="D78" s="8" t="n">
        <f aca="false">K78+SUMIF('فواتير جديدة'!$F$4:$F$43,C78,'فواتير جديدة'!$G$4:$G$43)</f>
        <v>8</v>
      </c>
      <c r="E78" s="10" t="n">
        <v>6</v>
      </c>
      <c r="F78" s="8" t="n">
        <f aca="false">IF(E78="","",E78-D78)</f>
        <v>-2</v>
      </c>
      <c r="G78" s="8" t="str">
        <f aca="false">IF(E78="","لم يُجرد بعد",IF(F78=0,"مطابق",IF(F78&lt;0,"عجز","زيادة")))</f>
        <v>عجز</v>
      </c>
      <c r="H78" s="8" t="n">
        <v>450</v>
      </c>
      <c r="I78" s="8" t="n">
        <f aca="false">IF(E78="","",F78*H78)</f>
        <v>-900</v>
      </c>
      <c r="J78" s="9"/>
      <c r="K78" s="11" t="n">
        <v>0</v>
      </c>
    </row>
    <row r="79" customFormat="false" ht="15" hidden="false" customHeight="true" outlineLevel="0" collapsed="false">
      <c r="A79" s="8"/>
      <c r="B79" s="9" t="s">
        <v>183</v>
      </c>
      <c r="C79" s="8"/>
      <c r="D79" s="8" t="n">
        <f aca="false">SUM(D4:D78)</f>
        <v>523</v>
      </c>
      <c r="E79" s="10" t="n">
        <f aca="false">SUM(E4:E78)</f>
        <v>409</v>
      </c>
      <c r="F79" s="8" t="n">
        <f aca="false">SUM(F4:F78)</f>
        <v>-114</v>
      </c>
      <c r="G79" s="8"/>
      <c r="H79" s="8"/>
      <c r="I79" s="8" t="n">
        <f aca="false">SUM(I4:I78)</f>
        <v>-40200</v>
      </c>
      <c r="J79" s="9"/>
      <c r="K79" s="11"/>
    </row>
  </sheetData>
  <mergeCells count="2">
    <mergeCell ref="A1:J1"/>
    <mergeCell ref="A2:J2"/>
  </mergeCells>
  <conditionalFormatting sqref="G4:G69">
    <cfRule type="expression" priority="2" aboveAverage="0" equalAverage="0" bottom="0" percent="0" rank="0" text="" dxfId="0">
      <formula>G4="عجز"</formula>
    </cfRule>
    <cfRule type="expression" priority="3" aboveAverage="0" equalAverage="0" bottom="0" percent="0" rank="0" text="" dxfId="1">
      <formula>G4="زيادة"</formula>
    </cfRule>
    <cfRule type="expression" priority="4" aboveAverage="0" equalAverage="0" bottom="0" percent="0" rank="0" text="" dxfId="2">
      <formula>G4="مطابق"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22"/>
  </cols>
  <sheetData>
    <row r="1" customFormat="false" ht="25.5" hidden="false" customHeight="true" outlineLevel="0" collapsed="false">
      <c r="A1" s="2" t="s">
        <v>184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185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7" t="s">
        <v>22</v>
      </c>
      <c r="B3" s="7" t="s">
        <v>23</v>
      </c>
      <c r="C3" s="7" t="s">
        <v>24</v>
      </c>
      <c r="D3" s="7" t="s">
        <v>186</v>
      </c>
      <c r="E3" s="7" t="s">
        <v>187</v>
      </c>
      <c r="F3" s="7" t="s">
        <v>188</v>
      </c>
      <c r="G3" s="7" t="s">
        <v>189</v>
      </c>
      <c r="H3" s="7" t="s">
        <v>31</v>
      </c>
    </row>
    <row r="4" customFormat="false" ht="15" hidden="false" customHeight="true" outlineLevel="0" collapsed="false">
      <c r="A4" s="8" t="str">
        <f aca="false">IF(B4="","",ROW()-3)</f>
        <v/>
      </c>
      <c r="B4" s="12"/>
      <c r="C4" s="10"/>
      <c r="D4" s="10"/>
      <c r="E4" s="10"/>
      <c r="F4" s="10"/>
      <c r="G4" s="8"/>
      <c r="H4" s="10"/>
    </row>
    <row r="5" customFormat="false" ht="15" hidden="false" customHeight="true" outlineLevel="0" collapsed="false">
      <c r="A5" s="8" t="str">
        <f aca="false">IF(B5="","",ROW()-3)</f>
        <v/>
      </c>
      <c r="B5" s="12"/>
      <c r="C5" s="10"/>
      <c r="D5" s="10"/>
      <c r="E5" s="10"/>
      <c r="F5" s="10"/>
      <c r="G5" s="8"/>
      <c r="H5" s="10"/>
    </row>
    <row r="6" customFormat="false" ht="15" hidden="false" customHeight="true" outlineLevel="0" collapsed="false">
      <c r="A6" s="8" t="str">
        <f aca="false">IF(B6="","",ROW()-3)</f>
        <v/>
      </c>
      <c r="B6" s="12"/>
      <c r="C6" s="10"/>
      <c r="D6" s="10"/>
      <c r="E6" s="10"/>
      <c r="F6" s="10"/>
      <c r="G6" s="8"/>
      <c r="H6" s="10"/>
    </row>
    <row r="7" customFormat="false" ht="15" hidden="false" customHeight="true" outlineLevel="0" collapsed="false">
      <c r="A7" s="8" t="str">
        <f aca="false">IF(B7="","",ROW()-3)</f>
        <v/>
      </c>
      <c r="B7" s="12"/>
      <c r="C7" s="10"/>
      <c r="D7" s="10"/>
      <c r="E7" s="10"/>
      <c r="F7" s="10"/>
      <c r="G7" s="8"/>
      <c r="H7" s="10"/>
    </row>
    <row r="8" customFormat="false" ht="15" hidden="false" customHeight="true" outlineLevel="0" collapsed="false">
      <c r="A8" s="8" t="str">
        <f aca="false">IF(B8="","",ROW()-3)</f>
        <v/>
      </c>
      <c r="B8" s="12"/>
      <c r="C8" s="10"/>
      <c r="D8" s="10"/>
      <c r="E8" s="10"/>
      <c r="F8" s="10"/>
      <c r="G8" s="8"/>
      <c r="H8" s="10"/>
    </row>
    <row r="9" customFormat="false" ht="15" hidden="false" customHeight="true" outlineLevel="0" collapsed="false">
      <c r="A9" s="8" t="str">
        <f aca="false">IF(B9="","",ROW()-3)</f>
        <v/>
      </c>
      <c r="B9" s="12"/>
      <c r="C9" s="10"/>
      <c r="D9" s="10"/>
      <c r="E9" s="10"/>
      <c r="F9" s="10"/>
      <c r="G9" s="8"/>
      <c r="H9" s="10"/>
    </row>
    <row r="10" customFormat="false" ht="15" hidden="false" customHeight="true" outlineLevel="0" collapsed="false">
      <c r="A10" s="8" t="str">
        <f aca="false">IF(B10="","",ROW()-3)</f>
        <v/>
      </c>
      <c r="B10" s="12"/>
      <c r="C10" s="10"/>
      <c r="D10" s="10"/>
      <c r="E10" s="10"/>
      <c r="F10" s="10"/>
      <c r="G10" s="8"/>
      <c r="H10" s="10"/>
    </row>
    <row r="11" customFormat="false" ht="15" hidden="false" customHeight="true" outlineLevel="0" collapsed="false">
      <c r="A11" s="8" t="str">
        <f aca="false">IF(B11="","",ROW()-3)</f>
        <v/>
      </c>
      <c r="B11" s="12"/>
      <c r="C11" s="10"/>
      <c r="D11" s="10"/>
      <c r="E11" s="10"/>
      <c r="F11" s="10"/>
      <c r="G11" s="8"/>
      <c r="H11" s="10"/>
    </row>
    <row r="12" customFormat="false" ht="15" hidden="false" customHeight="true" outlineLevel="0" collapsed="false">
      <c r="A12" s="8" t="str">
        <f aca="false">IF(B12="","",ROW()-3)</f>
        <v/>
      </c>
      <c r="B12" s="12"/>
      <c r="C12" s="10"/>
      <c r="D12" s="10"/>
      <c r="E12" s="10"/>
      <c r="F12" s="10"/>
      <c r="G12" s="8"/>
      <c r="H12" s="10"/>
    </row>
    <row r="13" customFormat="false" ht="15" hidden="false" customHeight="true" outlineLevel="0" collapsed="false">
      <c r="A13" s="8" t="str">
        <f aca="false">IF(B13="","",ROW()-3)</f>
        <v/>
      </c>
      <c r="B13" s="12"/>
      <c r="C13" s="10"/>
      <c r="D13" s="10"/>
      <c r="E13" s="10"/>
      <c r="F13" s="10"/>
      <c r="G13" s="8"/>
      <c r="H13" s="10"/>
    </row>
    <row r="14" customFormat="false" ht="15" hidden="false" customHeight="true" outlineLevel="0" collapsed="false">
      <c r="A14" s="8" t="str">
        <f aca="false">IF(B14="","",ROW()-3)</f>
        <v/>
      </c>
      <c r="B14" s="12"/>
      <c r="C14" s="10"/>
      <c r="D14" s="10"/>
      <c r="E14" s="10"/>
      <c r="F14" s="10"/>
      <c r="G14" s="8"/>
      <c r="H14" s="10"/>
    </row>
    <row r="15" customFormat="false" ht="15" hidden="false" customHeight="true" outlineLevel="0" collapsed="false">
      <c r="A15" s="8" t="str">
        <f aca="false">IF(B15="","",ROW()-3)</f>
        <v/>
      </c>
      <c r="B15" s="12"/>
      <c r="C15" s="10"/>
      <c r="D15" s="10"/>
      <c r="E15" s="10"/>
      <c r="F15" s="10"/>
      <c r="G15" s="8"/>
      <c r="H15" s="10"/>
    </row>
    <row r="16" customFormat="false" ht="15" hidden="false" customHeight="true" outlineLevel="0" collapsed="false">
      <c r="A16" s="8" t="str">
        <f aca="false">IF(B16="","",ROW()-3)</f>
        <v/>
      </c>
      <c r="B16" s="12"/>
      <c r="C16" s="10"/>
      <c r="D16" s="10"/>
      <c r="E16" s="10"/>
      <c r="F16" s="10"/>
      <c r="G16" s="8"/>
      <c r="H16" s="10"/>
    </row>
    <row r="17" customFormat="false" ht="15" hidden="false" customHeight="true" outlineLevel="0" collapsed="false">
      <c r="A17" s="8" t="str">
        <f aca="false">IF(B17="","",ROW()-3)</f>
        <v/>
      </c>
      <c r="B17" s="12"/>
      <c r="C17" s="10"/>
      <c r="D17" s="10"/>
      <c r="E17" s="10"/>
      <c r="F17" s="10"/>
      <c r="G17" s="8"/>
      <c r="H17" s="10"/>
    </row>
    <row r="18" customFormat="false" ht="15" hidden="false" customHeight="true" outlineLevel="0" collapsed="false">
      <c r="A18" s="8" t="str">
        <f aca="false">IF(B18="","",ROW()-3)</f>
        <v/>
      </c>
      <c r="B18" s="12"/>
      <c r="C18" s="10"/>
      <c r="D18" s="10"/>
      <c r="E18" s="10"/>
      <c r="F18" s="10"/>
      <c r="G18" s="8"/>
      <c r="H18" s="10"/>
    </row>
    <row r="19" customFormat="false" ht="15" hidden="false" customHeight="true" outlineLevel="0" collapsed="false">
      <c r="A19" s="8" t="str">
        <f aca="false">IF(B19="","",ROW()-3)</f>
        <v/>
      </c>
      <c r="B19" s="12"/>
      <c r="C19" s="10"/>
      <c r="D19" s="10"/>
      <c r="E19" s="10"/>
      <c r="F19" s="10"/>
      <c r="G19" s="8"/>
      <c r="H19" s="10"/>
    </row>
    <row r="20" customFormat="false" ht="15" hidden="false" customHeight="true" outlineLevel="0" collapsed="false">
      <c r="A20" s="8" t="str">
        <f aca="false">IF(B20="","",ROW()-3)</f>
        <v/>
      </c>
      <c r="B20" s="12"/>
      <c r="C20" s="10"/>
      <c r="D20" s="10"/>
      <c r="E20" s="10"/>
      <c r="F20" s="10"/>
      <c r="G20" s="8"/>
      <c r="H20" s="10"/>
    </row>
    <row r="21" customFormat="false" ht="15" hidden="false" customHeight="true" outlineLevel="0" collapsed="false">
      <c r="A21" s="8" t="str">
        <f aca="false">IF(B21="","",ROW()-3)</f>
        <v/>
      </c>
      <c r="B21" s="12"/>
      <c r="C21" s="10"/>
      <c r="D21" s="10"/>
      <c r="E21" s="10"/>
      <c r="F21" s="10"/>
      <c r="G21" s="8"/>
      <c r="H21" s="10"/>
    </row>
    <row r="22" customFormat="false" ht="15" hidden="false" customHeight="true" outlineLevel="0" collapsed="false">
      <c r="A22" s="8" t="str">
        <f aca="false">IF(B22="","",ROW()-3)</f>
        <v/>
      </c>
      <c r="B22" s="12"/>
      <c r="C22" s="10"/>
      <c r="D22" s="10"/>
      <c r="E22" s="10"/>
      <c r="F22" s="10"/>
      <c r="G22" s="8"/>
      <c r="H22" s="10"/>
    </row>
    <row r="23" customFormat="false" ht="15" hidden="false" customHeight="true" outlineLevel="0" collapsed="false">
      <c r="A23" s="8" t="str">
        <f aca="false">IF(B23="","",ROW()-3)</f>
        <v/>
      </c>
      <c r="B23" s="12"/>
      <c r="C23" s="10"/>
      <c r="D23" s="10"/>
      <c r="E23" s="10"/>
      <c r="F23" s="10"/>
      <c r="G23" s="8"/>
      <c r="H23" s="10"/>
    </row>
    <row r="24" customFormat="false" ht="15" hidden="false" customHeight="true" outlineLevel="0" collapsed="false">
      <c r="A24" s="8" t="str">
        <f aca="false">IF(B24="","",ROW()-3)</f>
        <v/>
      </c>
      <c r="B24" s="12"/>
      <c r="C24" s="10"/>
      <c r="D24" s="10"/>
      <c r="E24" s="10"/>
      <c r="F24" s="10"/>
      <c r="G24" s="8"/>
      <c r="H24" s="10"/>
    </row>
    <row r="25" customFormat="false" ht="15" hidden="false" customHeight="true" outlineLevel="0" collapsed="false">
      <c r="A25" s="8" t="str">
        <f aca="false">IF(B25="","",ROW()-3)</f>
        <v/>
      </c>
      <c r="B25" s="12"/>
      <c r="C25" s="10"/>
      <c r="D25" s="10"/>
      <c r="E25" s="10"/>
      <c r="F25" s="10"/>
      <c r="G25" s="8"/>
      <c r="H25" s="10"/>
    </row>
    <row r="26" customFormat="false" ht="15" hidden="false" customHeight="true" outlineLevel="0" collapsed="false">
      <c r="A26" s="8" t="str">
        <f aca="false">IF(B26="","",ROW()-3)</f>
        <v/>
      </c>
      <c r="B26" s="12"/>
      <c r="C26" s="10"/>
      <c r="D26" s="10"/>
      <c r="E26" s="10"/>
      <c r="F26" s="10"/>
      <c r="G26" s="8"/>
      <c r="H26" s="10"/>
    </row>
    <row r="27" customFormat="false" ht="15" hidden="false" customHeight="true" outlineLevel="0" collapsed="false">
      <c r="A27" s="8" t="str">
        <f aca="false">IF(B27="","",ROW()-3)</f>
        <v/>
      </c>
      <c r="B27" s="12"/>
      <c r="C27" s="10"/>
      <c r="D27" s="10"/>
      <c r="E27" s="10"/>
      <c r="F27" s="10"/>
      <c r="G27" s="8"/>
      <c r="H27" s="10"/>
    </row>
    <row r="28" customFormat="false" ht="15" hidden="false" customHeight="true" outlineLevel="0" collapsed="false">
      <c r="A28" s="8" t="str">
        <f aca="false">IF(B28="","",ROW()-3)</f>
        <v/>
      </c>
      <c r="B28" s="12"/>
      <c r="C28" s="10"/>
      <c r="D28" s="10"/>
      <c r="E28" s="10"/>
      <c r="F28" s="10"/>
      <c r="G28" s="8"/>
      <c r="H28" s="10"/>
    </row>
    <row r="29" customFormat="false" ht="15" hidden="false" customHeight="true" outlineLevel="0" collapsed="false">
      <c r="A29" s="8" t="str">
        <f aca="false">IF(B29="","",ROW()-3)</f>
        <v/>
      </c>
      <c r="B29" s="12"/>
      <c r="C29" s="10"/>
      <c r="D29" s="10"/>
      <c r="E29" s="10"/>
      <c r="F29" s="10"/>
      <c r="G29" s="8"/>
      <c r="H29" s="10"/>
    </row>
    <row r="30" customFormat="false" ht="15" hidden="false" customHeight="true" outlineLevel="0" collapsed="false">
      <c r="A30" s="8" t="str">
        <f aca="false">IF(B30="","",ROW()-3)</f>
        <v/>
      </c>
      <c r="B30" s="12"/>
      <c r="C30" s="10"/>
      <c r="D30" s="10"/>
      <c r="E30" s="10"/>
      <c r="F30" s="10"/>
      <c r="G30" s="8"/>
      <c r="H30" s="10"/>
    </row>
    <row r="31" customFormat="false" ht="15" hidden="false" customHeight="true" outlineLevel="0" collapsed="false">
      <c r="A31" s="8" t="str">
        <f aca="false">IF(B31="","",ROW()-3)</f>
        <v/>
      </c>
      <c r="B31" s="12"/>
      <c r="C31" s="10"/>
      <c r="D31" s="10"/>
      <c r="E31" s="10"/>
      <c r="F31" s="10"/>
      <c r="G31" s="8"/>
      <c r="H31" s="10"/>
    </row>
    <row r="32" customFormat="false" ht="15" hidden="false" customHeight="true" outlineLevel="0" collapsed="false">
      <c r="A32" s="8" t="str">
        <f aca="false">IF(B32="","",ROW()-3)</f>
        <v/>
      </c>
      <c r="B32" s="12"/>
      <c r="C32" s="10"/>
      <c r="D32" s="10"/>
      <c r="E32" s="10"/>
      <c r="F32" s="10"/>
      <c r="G32" s="8"/>
      <c r="H32" s="10"/>
    </row>
    <row r="33" customFormat="false" ht="15" hidden="false" customHeight="true" outlineLevel="0" collapsed="false">
      <c r="A33" s="8" t="str">
        <f aca="false">IF(B33="","",ROW()-3)</f>
        <v/>
      </c>
      <c r="B33" s="12"/>
      <c r="C33" s="10"/>
      <c r="D33" s="10"/>
      <c r="E33" s="10"/>
      <c r="F33" s="10"/>
      <c r="G33" s="8"/>
      <c r="H33" s="10"/>
    </row>
    <row r="34" customFormat="false" ht="15" hidden="false" customHeight="true" outlineLevel="0" collapsed="false">
      <c r="A34" s="8" t="str">
        <f aca="false">IF(B34="","",ROW()-3)</f>
        <v/>
      </c>
      <c r="B34" s="12"/>
      <c r="C34" s="10"/>
      <c r="D34" s="10"/>
      <c r="E34" s="10"/>
      <c r="F34" s="10"/>
      <c r="G34" s="8"/>
      <c r="H34" s="10"/>
    </row>
    <row r="35" customFormat="false" ht="15" hidden="false" customHeight="true" outlineLevel="0" collapsed="false">
      <c r="A35" s="8" t="str">
        <f aca="false">IF(B35="","",ROW()-3)</f>
        <v/>
      </c>
      <c r="B35" s="12"/>
      <c r="C35" s="10"/>
      <c r="D35" s="10"/>
      <c r="E35" s="10"/>
      <c r="F35" s="10"/>
      <c r="G35" s="8"/>
      <c r="H35" s="10"/>
    </row>
    <row r="36" customFormat="false" ht="15" hidden="false" customHeight="true" outlineLevel="0" collapsed="false">
      <c r="A36" s="8" t="str">
        <f aca="false">IF(B36="","",ROW()-3)</f>
        <v/>
      </c>
      <c r="B36" s="12"/>
      <c r="C36" s="10"/>
      <c r="D36" s="10"/>
      <c r="E36" s="10"/>
      <c r="F36" s="10"/>
      <c r="G36" s="8"/>
      <c r="H36" s="10"/>
    </row>
    <row r="37" customFormat="false" ht="15" hidden="false" customHeight="true" outlineLevel="0" collapsed="false">
      <c r="A37" s="8" t="str">
        <f aca="false">IF(B37="","",ROW()-3)</f>
        <v/>
      </c>
      <c r="B37" s="12"/>
      <c r="C37" s="10"/>
      <c r="D37" s="10"/>
      <c r="E37" s="10"/>
      <c r="F37" s="10"/>
      <c r="G37" s="8"/>
      <c r="H37" s="10"/>
    </row>
    <row r="38" customFormat="false" ht="15" hidden="false" customHeight="true" outlineLevel="0" collapsed="false">
      <c r="A38" s="8" t="str">
        <f aca="false">IF(B38="","",ROW()-3)</f>
        <v/>
      </c>
      <c r="B38" s="12"/>
      <c r="C38" s="10"/>
      <c r="D38" s="10"/>
      <c r="E38" s="10"/>
      <c r="F38" s="10"/>
      <c r="G38" s="8"/>
      <c r="H38" s="10"/>
    </row>
    <row r="39" customFormat="false" ht="15" hidden="false" customHeight="true" outlineLevel="0" collapsed="false">
      <c r="A39" s="8" t="str">
        <f aca="false">IF(B39="","",ROW()-3)</f>
        <v/>
      </c>
      <c r="B39" s="12"/>
      <c r="C39" s="10"/>
      <c r="D39" s="10"/>
      <c r="E39" s="10"/>
      <c r="F39" s="10"/>
      <c r="G39" s="8"/>
      <c r="H39" s="10"/>
    </row>
    <row r="40" customFormat="false" ht="15" hidden="false" customHeight="true" outlineLevel="0" collapsed="false">
      <c r="A40" s="8" t="str">
        <f aca="false">IF(B40="","",ROW()-3)</f>
        <v/>
      </c>
      <c r="B40" s="12"/>
      <c r="C40" s="10"/>
      <c r="D40" s="10"/>
      <c r="E40" s="10"/>
      <c r="F40" s="10"/>
      <c r="G40" s="8"/>
      <c r="H40" s="10"/>
    </row>
    <row r="41" customFormat="false" ht="15" hidden="false" customHeight="true" outlineLevel="0" collapsed="false">
      <c r="A41" s="8" t="str">
        <f aca="false">IF(B41="","",ROW()-3)</f>
        <v/>
      </c>
      <c r="B41" s="12"/>
      <c r="C41" s="10"/>
      <c r="D41" s="10"/>
      <c r="E41" s="10"/>
      <c r="F41" s="10"/>
      <c r="G41" s="8"/>
      <c r="H41" s="10"/>
    </row>
    <row r="42" customFormat="false" ht="15" hidden="false" customHeight="true" outlineLevel="0" collapsed="false">
      <c r="A42" s="8" t="str">
        <f aca="false">IF(B42="","",ROW()-3)</f>
        <v/>
      </c>
      <c r="B42" s="12"/>
      <c r="C42" s="10"/>
      <c r="D42" s="10"/>
      <c r="E42" s="10"/>
      <c r="F42" s="10"/>
      <c r="G42" s="8"/>
      <c r="H42" s="10"/>
    </row>
    <row r="43" customFormat="false" ht="15" hidden="false" customHeight="true" outlineLevel="0" collapsed="false">
      <c r="A43" s="8" t="str">
        <f aca="false">IF(B43="","",ROW()-3)</f>
        <v/>
      </c>
      <c r="B43" s="12"/>
      <c r="C43" s="10"/>
      <c r="D43" s="10"/>
      <c r="E43" s="10"/>
      <c r="F43" s="10"/>
      <c r="G43" s="8"/>
      <c r="H43" s="10"/>
    </row>
    <row r="44" customFormat="false" ht="15" hidden="false" customHeight="true" outlineLevel="0" collapsed="false">
      <c r="A44" s="13"/>
      <c r="B44" s="13" t="s">
        <v>183</v>
      </c>
      <c r="C44" s="13"/>
      <c r="D44" s="13" t="n">
        <f aca="false">SUM(D4:D43)</f>
        <v>0</v>
      </c>
      <c r="E44" s="13"/>
      <c r="F44" s="13"/>
      <c r="G44" s="13" t="n">
        <f aca="false">SUM(G4:G43)</f>
        <v>0</v>
      </c>
      <c r="H44" s="1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6" activeCellId="0" sqref="D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8"/>
  </cols>
  <sheetData>
    <row r="1" customFormat="false" ht="25.5" hidden="false" customHeight="true" outlineLevel="0" collapsed="false">
      <c r="A1" s="2" t="s">
        <v>190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191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7" t="s">
        <v>22</v>
      </c>
      <c r="B3" s="7" t="s">
        <v>192</v>
      </c>
      <c r="C3" s="7" t="s">
        <v>193</v>
      </c>
      <c r="D3" s="7" t="s">
        <v>194</v>
      </c>
      <c r="E3" s="7" t="s">
        <v>23</v>
      </c>
      <c r="F3" s="7" t="s">
        <v>24</v>
      </c>
      <c r="G3" s="7" t="s">
        <v>195</v>
      </c>
      <c r="H3" s="7" t="s">
        <v>29</v>
      </c>
      <c r="I3" s="7" t="s">
        <v>196</v>
      </c>
      <c r="J3" s="7" t="s">
        <v>31</v>
      </c>
    </row>
    <row r="4" customFormat="false" ht="15" hidden="false" customHeight="true" outlineLevel="0" collapsed="false">
      <c r="A4" s="8" t="n">
        <f aca="false">IF(E4="","",ROW()-3)</f>
        <v>1</v>
      </c>
      <c r="B4" s="12" t="s">
        <v>197</v>
      </c>
      <c r="C4" s="10" t="n">
        <v>1</v>
      </c>
      <c r="D4" s="10" t="s">
        <v>198</v>
      </c>
      <c r="E4" s="10" t="s">
        <v>165</v>
      </c>
      <c r="F4" s="14" t="str">
        <f aca="false">IF(E4="","","200"&amp;TEXT(66+ROW()-3,"0000000000"))</f>
        <v>2000000000067</v>
      </c>
      <c r="G4" s="10" t="n">
        <v>24</v>
      </c>
      <c r="H4" s="10" t="n">
        <v>320</v>
      </c>
      <c r="I4" s="8" t="n">
        <f aca="false">IF(OR(G4="",H4=""),"",G4*H4)</f>
        <v>7680</v>
      </c>
      <c r="J4" s="10"/>
    </row>
    <row r="5" customFormat="false" ht="15" hidden="false" customHeight="true" outlineLevel="0" collapsed="false">
      <c r="A5" s="8" t="n">
        <f aca="false">IF(E5="","",ROW()-3)</f>
        <v>2</v>
      </c>
      <c r="B5" s="12" t="s">
        <v>197</v>
      </c>
      <c r="C5" s="10" t="n">
        <v>1</v>
      </c>
      <c r="D5" s="10" t="s">
        <v>199</v>
      </c>
      <c r="E5" s="10" t="s">
        <v>167</v>
      </c>
      <c r="F5" s="14" t="str">
        <f aca="false">IF(E5="","","200"&amp;TEXT(66+ROW()-3,"0000000000"))</f>
        <v>2000000000068</v>
      </c>
      <c r="G5" s="10" t="n">
        <v>4</v>
      </c>
      <c r="H5" s="10" t="n">
        <v>415</v>
      </c>
      <c r="I5" s="8" t="n">
        <f aca="false">IF(OR(G5="",H5=""),"",G5*H5)</f>
        <v>1660</v>
      </c>
      <c r="J5" s="10"/>
    </row>
    <row r="6" customFormat="false" ht="15" hidden="false" customHeight="true" outlineLevel="0" collapsed="false">
      <c r="A6" s="8" t="n">
        <f aca="false">IF(E6="","",ROW()-3)</f>
        <v>3</v>
      </c>
      <c r="B6" s="12" t="s">
        <v>197</v>
      </c>
      <c r="C6" s="10" t="n">
        <v>1</v>
      </c>
      <c r="D6" s="10" t="s">
        <v>199</v>
      </c>
      <c r="E6" s="10" t="s">
        <v>169</v>
      </c>
      <c r="F6" s="14" t="str">
        <f aca="false">IF(E6="","","200"&amp;TEXT(66+ROW()-3,"0000000000"))</f>
        <v>2000000000069</v>
      </c>
      <c r="G6" s="10" t="n">
        <v>2</v>
      </c>
      <c r="H6" s="10" t="n">
        <v>395</v>
      </c>
      <c r="I6" s="8" t="n">
        <f aca="false">IF(OR(G6="",H6=""),"",G6*H6)</f>
        <v>790</v>
      </c>
      <c r="J6" s="10"/>
    </row>
    <row r="7" customFormat="false" ht="15" hidden="false" customHeight="true" outlineLevel="0" collapsed="false">
      <c r="A7" s="8" t="n">
        <f aca="false">IF(E7="","",ROW()-3)</f>
        <v>4</v>
      </c>
      <c r="B7" s="12" t="s">
        <v>197</v>
      </c>
      <c r="C7" s="10" t="n">
        <v>1</v>
      </c>
      <c r="D7" s="10" t="s">
        <v>200</v>
      </c>
      <c r="E7" s="10" t="s">
        <v>171</v>
      </c>
      <c r="F7" s="14" t="str">
        <f aca="false">IF(E7="","","200"&amp;TEXT(66+ROW()-3,"0000000000"))</f>
        <v>2000000000070</v>
      </c>
      <c r="G7" s="10" t="n">
        <v>8</v>
      </c>
      <c r="H7" s="10" t="n">
        <v>490</v>
      </c>
      <c r="I7" s="8" t="n">
        <f aca="false">IF(OR(G7="",H7=""),"",G7*H7)</f>
        <v>3920</v>
      </c>
      <c r="J7" s="10"/>
    </row>
    <row r="8" customFormat="false" ht="15" hidden="false" customHeight="true" outlineLevel="0" collapsed="false">
      <c r="A8" s="8" t="n">
        <f aca="false">IF(E8="","",ROW()-3)</f>
        <v>5</v>
      </c>
      <c r="B8" s="12" t="s">
        <v>197</v>
      </c>
      <c r="C8" s="10" t="n">
        <v>1</v>
      </c>
      <c r="D8" s="10" t="s">
        <v>200</v>
      </c>
      <c r="E8" s="10" t="s">
        <v>173</v>
      </c>
      <c r="F8" s="14" t="str">
        <f aca="false">IF(E8="","","200"&amp;TEXT(66+ROW()-3,"0000000000"))</f>
        <v>2000000000071</v>
      </c>
      <c r="G8" s="10" t="n">
        <v>2</v>
      </c>
      <c r="H8" s="10" t="n">
        <v>400</v>
      </c>
      <c r="I8" s="8" t="n">
        <f aca="false">IF(OR(G8="",H8=""),"",G8*H8)</f>
        <v>800</v>
      </c>
      <c r="J8" s="10"/>
    </row>
    <row r="9" customFormat="false" ht="15" hidden="false" customHeight="true" outlineLevel="0" collapsed="false">
      <c r="A9" s="8" t="n">
        <f aca="false">IF(E9="","",ROW()-3)</f>
        <v>6</v>
      </c>
      <c r="B9" s="12" t="s">
        <v>197</v>
      </c>
      <c r="C9" s="10" t="n">
        <v>1</v>
      </c>
      <c r="D9" s="10" t="s">
        <v>200</v>
      </c>
      <c r="E9" s="10" t="s">
        <v>175</v>
      </c>
      <c r="F9" s="14" t="str">
        <f aca="false">IF(E9="","","200"&amp;TEXT(66+ROW()-3,"0000000000"))</f>
        <v>2000000000072</v>
      </c>
      <c r="G9" s="10" t="n">
        <v>10</v>
      </c>
      <c r="H9" s="10" t="n">
        <v>460</v>
      </c>
      <c r="I9" s="8" t="n">
        <f aca="false">IF(OR(G9="",H9=""),"",G9*H9)</f>
        <v>4600</v>
      </c>
      <c r="J9" s="10"/>
    </row>
    <row r="10" customFormat="false" ht="15" hidden="false" customHeight="true" outlineLevel="0" collapsed="false">
      <c r="A10" s="8" t="n">
        <f aca="false">IF(E10="","",ROW()-3)</f>
        <v>7</v>
      </c>
      <c r="B10" s="12" t="s">
        <v>197</v>
      </c>
      <c r="C10" s="10" t="n">
        <v>1</v>
      </c>
      <c r="D10" s="10" t="s">
        <v>200</v>
      </c>
      <c r="E10" s="10" t="s">
        <v>177</v>
      </c>
      <c r="F10" s="14" t="str">
        <f aca="false">IF(E10="","","200"&amp;TEXT(66+ROW()-3,"0000000000"))</f>
        <v>2000000000073</v>
      </c>
      <c r="G10" s="10" t="n">
        <v>10</v>
      </c>
      <c r="H10" s="10" t="n">
        <v>390</v>
      </c>
      <c r="I10" s="8" t="n">
        <f aca="false">IF(OR(G10="",H10=""),"",G10*H10)</f>
        <v>3900</v>
      </c>
      <c r="J10" s="10"/>
    </row>
    <row r="11" customFormat="false" ht="15" hidden="false" customHeight="true" outlineLevel="0" collapsed="false">
      <c r="A11" s="8" t="n">
        <f aca="false">IF(E11="","",ROW()-3)</f>
        <v>8</v>
      </c>
      <c r="B11" s="12" t="s">
        <v>197</v>
      </c>
      <c r="C11" s="10" t="n">
        <v>1</v>
      </c>
      <c r="D11" s="10" t="s">
        <v>200</v>
      </c>
      <c r="E11" s="10" t="s">
        <v>179</v>
      </c>
      <c r="F11" s="14" t="str">
        <f aca="false">IF(E11="","","200"&amp;TEXT(66+ROW()-3,"0000000000"))</f>
        <v>2000000000074</v>
      </c>
      <c r="G11" s="10" t="n">
        <v>8</v>
      </c>
      <c r="H11" s="10" t="n">
        <v>360</v>
      </c>
      <c r="I11" s="8" t="n">
        <f aca="false">IF(OR(G11="",H11=""),"",G11*H11)</f>
        <v>2880</v>
      </c>
      <c r="J11" s="10"/>
    </row>
    <row r="12" customFormat="false" ht="15" hidden="false" customHeight="true" outlineLevel="0" collapsed="false">
      <c r="A12" s="8" t="n">
        <f aca="false">IF(E12="","",ROW()-3)</f>
        <v>9</v>
      </c>
      <c r="B12" s="12" t="s">
        <v>197</v>
      </c>
      <c r="C12" s="10" t="n">
        <v>1</v>
      </c>
      <c r="D12" s="10" t="s">
        <v>200</v>
      </c>
      <c r="E12" s="10" t="s">
        <v>181</v>
      </c>
      <c r="F12" s="14" t="str">
        <f aca="false">IF(E12="","","200"&amp;TEXT(66+ROW()-3,"0000000000"))</f>
        <v>2000000000075</v>
      </c>
      <c r="G12" s="10" t="n">
        <v>8</v>
      </c>
      <c r="H12" s="10" t="n">
        <v>450</v>
      </c>
      <c r="I12" s="8" t="n">
        <f aca="false">IF(OR(G12="",H12=""),"",G12*H12)</f>
        <v>3600</v>
      </c>
      <c r="J12" s="10"/>
    </row>
    <row r="13" customFormat="false" ht="15" hidden="false" customHeight="true" outlineLevel="0" collapsed="false">
      <c r="A13" s="8" t="n">
        <f aca="false">IF(E13="","",ROW()-3)</f>
        <v>10</v>
      </c>
      <c r="B13" s="12" t="s">
        <v>201</v>
      </c>
      <c r="C13" s="10" t="n">
        <v>2</v>
      </c>
      <c r="D13" s="10" t="s">
        <v>200</v>
      </c>
      <c r="E13" s="10" t="s">
        <v>202</v>
      </c>
      <c r="F13" s="10" t="str">
        <f aca="false">IF(E13="","","200"&amp;TEXT(66+ROW()-3,"0000000000"))</f>
        <v>2000000000076</v>
      </c>
      <c r="G13" s="10" t="n">
        <v>1</v>
      </c>
      <c r="H13" s="10" t="n">
        <v>185</v>
      </c>
      <c r="I13" s="8" t="n">
        <f aca="false">IF(OR(G13="",H13=""),"",G13*H13)</f>
        <v>185</v>
      </c>
      <c r="J13" s="10"/>
    </row>
    <row r="14" customFormat="false" ht="15" hidden="false" customHeight="true" outlineLevel="0" collapsed="false">
      <c r="A14" s="8" t="n">
        <f aca="false">IF(E14="","",ROW()-3)</f>
        <v>11</v>
      </c>
      <c r="B14" s="12" t="s">
        <v>201</v>
      </c>
      <c r="C14" s="10" t="n">
        <v>2</v>
      </c>
      <c r="D14" s="10" t="s">
        <v>200</v>
      </c>
      <c r="E14" s="10" t="s">
        <v>203</v>
      </c>
      <c r="F14" s="10" t="str">
        <f aca="false">IF(E14="","","200"&amp;TEXT(66+ROW()-3,"0000000000"))</f>
        <v>2000000000077</v>
      </c>
      <c r="G14" s="10" t="n">
        <v>1</v>
      </c>
      <c r="H14" s="10" t="n">
        <v>200</v>
      </c>
      <c r="I14" s="8" t="n">
        <f aca="false">IF(OR(G14="",H14=""),"",G14*H14)</f>
        <v>200</v>
      </c>
      <c r="J14" s="10"/>
    </row>
    <row r="15" customFormat="false" ht="15" hidden="false" customHeight="true" outlineLevel="0" collapsed="false">
      <c r="A15" s="8" t="n">
        <f aca="false">IF(E15="","",ROW()-3)</f>
        <v>12</v>
      </c>
      <c r="B15" s="12" t="s">
        <v>201</v>
      </c>
      <c r="C15" s="10" t="n">
        <v>2</v>
      </c>
      <c r="D15" s="10" t="s">
        <v>200</v>
      </c>
      <c r="E15" s="10" t="s">
        <v>204</v>
      </c>
      <c r="F15" s="10" t="str">
        <f aca="false">IF(E15="","","200"&amp;TEXT(66+ROW()-3,"0000000000"))</f>
        <v>2000000000078</v>
      </c>
      <c r="G15" s="10" t="n">
        <v>1</v>
      </c>
      <c r="H15" s="10" t="n">
        <v>185</v>
      </c>
      <c r="I15" s="8" t="n">
        <f aca="false">IF(OR(G15="",H15=""),"",G15*H15)</f>
        <v>185</v>
      </c>
      <c r="J15" s="10"/>
    </row>
    <row r="16" customFormat="false" ht="15" hidden="false" customHeight="true" outlineLevel="0" collapsed="false">
      <c r="A16" s="8" t="str">
        <f aca="false">IF(E16="","",ROW()-3)</f>
        <v/>
      </c>
      <c r="B16" s="12"/>
      <c r="C16" s="10"/>
      <c r="D16" s="10"/>
      <c r="E16" s="10"/>
      <c r="F16" s="10" t="str">
        <f aca="false">IF(E16="","","200"&amp;TEXT(66+ROW()-3,"0000000000"))</f>
        <v/>
      </c>
      <c r="G16" s="10"/>
      <c r="H16" s="10"/>
      <c r="I16" s="8" t="str">
        <f aca="false">IF(OR(G16="",H16=""),"",G16*H16)</f>
        <v/>
      </c>
      <c r="J16" s="10"/>
    </row>
    <row r="17" customFormat="false" ht="15" hidden="false" customHeight="true" outlineLevel="0" collapsed="false">
      <c r="A17" s="8" t="str">
        <f aca="false">IF(E17="","",ROW()-3)</f>
        <v/>
      </c>
      <c r="B17" s="12"/>
      <c r="C17" s="10"/>
      <c r="D17" s="10"/>
      <c r="E17" s="10"/>
      <c r="F17" s="10" t="str">
        <f aca="false">IF(E17="","","200"&amp;TEXT(66+ROW()-3,"0000000000"))</f>
        <v/>
      </c>
      <c r="G17" s="10"/>
      <c r="H17" s="10"/>
      <c r="I17" s="8" t="str">
        <f aca="false">IF(OR(G17="",H17=""),"",G17*H17)</f>
        <v/>
      </c>
      <c r="J17" s="10"/>
    </row>
    <row r="18" customFormat="false" ht="15" hidden="false" customHeight="true" outlineLevel="0" collapsed="false">
      <c r="A18" s="8" t="str">
        <f aca="false">IF(E18="","",ROW()-3)</f>
        <v/>
      </c>
      <c r="B18" s="12"/>
      <c r="C18" s="10"/>
      <c r="D18" s="10"/>
      <c r="E18" s="10"/>
      <c r="F18" s="10" t="str">
        <f aca="false">IF(E18="","","200"&amp;TEXT(66+ROW()-3,"0000000000"))</f>
        <v/>
      </c>
      <c r="G18" s="10"/>
      <c r="H18" s="10"/>
      <c r="I18" s="8" t="str">
        <f aca="false">IF(OR(G18="",H18=""),"",G18*H18)</f>
        <v/>
      </c>
      <c r="J18" s="10"/>
    </row>
    <row r="19" customFormat="false" ht="15" hidden="false" customHeight="true" outlineLevel="0" collapsed="false">
      <c r="A19" s="8" t="str">
        <f aca="false">IF(E19="","",ROW()-3)</f>
        <v/>
      </c>
      <c r="B19" s="12"/>
      <c r="C19" s="10"/>
      <c r="D19" s="10"/>
      <c r="E19" s="10"/>
      <c r="F19" s="10" t="str">
        <f aca="false">IF(E19="","","200"&amp;TEXT(66+ROW()-3,"0000000000"))</f>
        <v/>
      </c>
      <c r="G19" s="10"/>
      <c r="H19" s="10"/>
      <c r="I19" s="8" t="str">
        <f aca="false">IF(OR(G19="",H19=""),"",G19*H19)</f>
        <v/>
      </c>
      <c r="J19" s="10"/>
    </row>
    <row r="20" customFormat="false" ht="15" hidden="false" customHeight="true" outlineLevel="0" collapsed="false">
      <c r="A20" s="8" t="str">
        <f aca="false">IF(E20="","",ROW()-3)</f>
        <v/>
      </c>
      <c r="B20" s="12"/>
      <c r="C20" s="10"/>
      <c r="D20" s="10"/>
      <c r="E20" s="10"/>
      <c r="F20" s="10" t="str">
        <f aca="false">IF(E20="","","200"&amp;TEXT(66+ROW()-3,"0000000000"))</f>
        <v/>
      </c>
      <c r="G20" s="10"/>
      <c r="H20" s="10"/>
      <c r="I20" s="8" t="str">
        <f aca="false">IF(OR(G20="",H20=""),"",G20*H20)</f>
        <v/>
      </c>
      <c r="J20" s="10"/>
    </row>
    <row r="21" customFormat="false" ht="15" hidden="false" customHeight="true" outlineLevel="0" collapsed="false">
      <c r="A21" s="8" t="str">
        <f aca="false">IF(E21="","",ROW()-3)</f>
        <v/>
      </c>
      <c r="B21" s="12"/>
      <c r="C21" s="10"/>
      <c r="D21" s="10"/>
      <c r="E21" s="10"/>
      <c r="F21" s="10" t="str">
        <f aca="false">IF(E21="","","200"&amp;TEXT(66+ROW()-3,"0000000000"))</f>
        <v/>
      </c>
      <c r="G21" s="10"/>
      <c r="H21" s="10"/>
      <c r="I21" s="8" t="str">
        <f aca="false">IF(OR(G21="",H21=""),"",G21*H21)</f>
        <v/>
      </c>
      <c r="J21" s="10"/>
    </row>
    <row r="22" customFormat="false" ht="15" hidden="false" customHeight="true" outlineLevel="0" collapsed="false">
      <c r="A22" s="8" t="str">
        <f aca="false">IF(E22="","",ROW()-3)</f>
        <v/>
      </c>
      <c r="B22" s="12"/>
      <c r="C22" s="10"/>
      <c r="D22" s="10"/>
      <c r="E22" s="10"/>
      <c r="F22" s="10" t="str">
        <f aca="false">IF(E22="","","200"&amp;TEXT(66+ROW()-3,"0000000000"))</f>
        <v/>
      </c>
      <c r="G22" s="10"/>
      <c r="H22" s="10"/>
      <c r="I22" s="8" t="str">
        <f aca="false">IF(OR(G22="",H22=""),"",G22*H22)</f>
        <v/>
      </c>
      <c r="J22" s="10"/>
    </row>
    <row r="23" customFormat="false" ht="15" hidden="false" customHeight="true" outlineLevel="0" collapsed="false">
      <c r="A23" s="8" t="str">
        <f aca="false">IF(E23="","",ROW()-3)</f>
        <v/>
      </c>
      <c r="B23" s="12"/>
      <c r="C23" s="10"/>
      <c r="D23" s="10"/>
      <c r="E23" s="10"/>
      <c r="F23" s="10" t="str">
        <f aca="false">IF(E23="","","200"&amp;TEXT(66+ROW()-3,"0000000000"))</f>
        <v/>
      </c>
      <c r="G23" s="10"/>
      <c r="H23" s="10"/>
      <c r="I23" s="8" t="str">
        <f aca="false">IF(OR(G23="",H23=""),"",G23*H23)</f>
        <v/>
      </c>
      <c r="J23" s="10"/>
    </row>
    <row r="24" customFormat="false" ht="15" hidden="false" customHeight="true" outlineLevel="0" collapsed="false">
      <c r="A24" s="8" t="str">
        <f aca="false">IF(E24="","",ROW()-3)</f>
        <v/>
      </c>
      <c r="B24" s="12"/>
      <c r="C24" s="10"/>
      <c r="D24" s="10"/>
      <c r="E24" s="10"/>
      <c r="F24" s="10" t="str">
        <f aca="false">IF(E24="","","200"&amp;TEXT(66+ROW()-3,"0000000000"))</f>
        <v/>
      </c>
      <c r="G24" s="10"/>
      <c r="H24" s="10"/>
      <c r="I24" s="8" t="str">
        <f aca="false">IF(OR(G24="",H24=""),"",G24*H24)</f>
        <v/>
      </c>
      <c r="J24" s="10"/>
    </row>
    <row r="25" customFormat="false" ht="15" hidden="false" customHeight="true" outlineLevel="0" collapsed="false">
      <c r="A25" s="8" t="str">
        <f aca="false">IF(E25="","",ROW()-3)</f>
        <v/>
      </c>
      <c r="B25" s="12"/>
      <c r="C25" s="10"/>
      <c r="D25" s="10"/>
      <c r="E25" s="10"/>
      <c r="F25" s="10" t="str">
        <f aca="false">IF(E25="","","200"&amp;TEXT(66+ROW()-3,"0000000000"))</f>
        <v/>
      </c>
      <c r="G25" s="10"/>
      <c r="H25" s="10"/>
      <c r="I25" s="8" t="str">
        <f aca="false">IF(OR(G25="",H25=""),"",G25*H25)</f>
        <v/>
      </c>
      <c r="J25" s="10"/>
    </row>
    <row r="26" customFormat="false" ht="15" hidden="false" customHeight="true" outlineLevel="0" collapsed="false">
      <c r="A26" s="8" t="str">
        <f aca="false">IF(E26="","",ROW()-3)</f>
        <v/>
      </c>
      <c r="B26" s="12"/>
      <c r="C26" s="10"/>
      <c r="D26" s="10"/>
      <c r="E26" s="10"/>
      <c r="F26" s="10" t="str">
        <f aca="false">IF(E26="","","200"&amp;TEXT(66+ROW()-3,"0000000000"))</f>
        <v/>
      </c>
      <c r="G26" s="10"/>
      <c r="H26" s="10"/>
      <c r="I26" s="8" t="str">
        <f aca="false">IF(OR(G26="",H26=""),"",G26*H26)</f>
        <v/>
      </c>
      <c r="J26" s="10"/>
    </row>
    <row r="27" customFormat="false" ht="15" hidden="false" customHeight="true" outlineLevel="0" collapsed="false">
      <c r="A27" s="8" t="str">
        <f aca="false">IF(E27="","",ROW()-3)</f>
        <v/>
      </c>
      <c r="B27" s="12"/>
      <c r="C27" s="10"/>
      <c r="D27" s="10"/>
      <c r="E27" s="10"/>
      <c r="F27" s="10" t="str">
        <f aca="false">IF(E27="","","200"&amp;TEXT(66+ROW()-3,"0000000000"))</f>
        <v/>
      </c>
      <c r="G27" s="10"/>
      <c r="H27" s="10"/>
      <c r="I27" s="8" t="str">
        <f aca="false">IF(OR(G27="",H27=""),"",G27*H27)</f>
        <v/>
      </c>
      <c r="J27" s="10"/>
    </row>
    <row r="28" customFormat="false" ht="15" hidden="false" customHeight="true" outlineLevel="0" collapsed="false">
      <c r="A28" s="8" t="str">
        <f aca="false">IF(E28="","",ROW()-3)</f>
        <v/>
      </c>
      <c r="B28" s="12"/>
      <c r="C28" s="10"/>
      <c r="D28" s="10"/>
      <c r="E28" s="10"/>
      <c r="F28" s="10" t="str">
        <f aca="false">IF(E28="","","200"&amp;TEXT(66+ROW()-3,"0000000000"))</f>
        <v/>
      </c>
      <c r="G28" s="10"/>
      <c r="H28" s="10"/>
      <c r="I28" s="8" t="str">
        <f aca="false">IF(OR(G28="",H28=""),"",G28*H28)</f>
        <v/>
      </c>
      <c r="J28" s="10"/>
    </row>
    <row r="29" customFormat="false" ht="15" hidden="false" customHeight="true" outlineLevel="0" collapsed="false">
      <c r="A29" s="8" t="str">
        <f aca="false">IF(E29="","",ROW()-3)</f>
        <v/>
      </c>
      <c r="B29" s="12"/>
      <c r="C29" s="10"/>
      <c r="D29" s="10"/>
      <c r="E29" s="10"/>
      <c r="F29" s="10" t="str">
        <f aca="false">IF(E29="","","200"&amp;TEXT(66+ROW()-3,"0000000000"))</f>
        <v/>
      </c>
      <c r="G29" s="10"/>
      <c r="H29" s="10"/>
      <c r="I29" s="8" t="str">
        <f aca="false">IF(OR(G29="",H29=""),"",G29*H29)</f>
        <v/>
      </c>
      <c r="J29" s="10"/>
    </row>
    <row r="30" customFormat="false" ht="15" hidden="false" customHeight="true" outlineLevel="0" collapsed="false">
      <c r="A30" s="8" t="str">
        <f aca="false">IF(E30="","",ROW()-3)</f>
        <v/>
      </c>
      <c r="B30" s="12"/>
      <c r="C30" s="10"/>
      <c r="D30" s="10"/>
      <c r="E30" s="10"/>
      <c r="F30" s="10" t="str">
        <f aca="false">IF(E30="","","200"&amp;TEXT(66+ROW()-3,"0000000000"))</f>
        <v/>
      </c>
      <c r="G30" s="10"/>
      <c r="H30" s="10"/>
      <c r="I30" s="8" t="str">
        <f aca="false">IF(OR(G30="",H30=""),"",G30*H30)</f>
        <v/>
      </c>
      <c r="J30" s="10"/>
    </row>
    <row r="31" customFormat="false" ht="15" hidden="false" customHeight="true" outlineLevel="0" collapsed="false">
      <c r="A31" s="8" t="str">
        <f aca="false">IF(E31="","",ROW()-3)</f>
        <v/>
      </c>
      <c r="B31" s="12"/>
      <c r="C31" s="10"/>
      <c r="D31" s="10"/>
      <c r="E31" s="10"/>
      <c r="F31" s="10" t="str">
        <f aca="false">IF(E31="","","200"&amp;TEXT(66+ROW()-3,"0000000000"))</f>
        <v/>
      </c>
      <c r="G31" s="10"/>
      <c r="H31" s="10"/>
      <c r="I31" s="8" t="str">
        <f aca="false">IF(OR(G31="",H31=""),"",G31*H31)</f>
        <v/>
      </c>
      <c r="J31" s="10"/>
    </row>
    <row r="32" customFormat="false" ht="15" hidden="false" customHeight="true" outlineLevel="0" collapsed="false">
      <c r="A32" s="8" t="str">
        <f aca="false">IF(E32="","",ROW()-3)</f>
        <v/>
      </c>
      <c r="B32" s="12"/>
      <c r="C32" s="10"/>
      <c r="D32" s="10"/>
      <c r="E32" s="10"/>
      <c r="F32" s="10" t="str">
        <f aca="false">IF(E32="","","200"&amp;TEXT(66+ROW()-3,"0000000000"))</f>
        <v/>
      </c>
      <c r="G32" s="10"/>
      <c r="H32" s="10"/>
      <c r="I32" s="8" t="str">
        <f aca="false">IF(OR(G32="",H32=""),"",G32*H32)</f>
        <v/>
      </c>
      <c r="J32" s="10"/>
    </row>
    <row r="33" customFormat="false" ht="15" hidden="false" customHeight="true" outlineLevel="0" collapsed="false">
      <c r="A33" s="8" t="str">
        <f aca="false">IF(E33="","",ROW()-3)</f>
        <v/>
      </c>
      <c r="B33" s="12"/>
      <c r="C33" s="10"/>
      <c r="D33" s="10"/>
      <c r="E33" s="10"/>
      <c r="F33" s="10" t="str">
        <f aca="false">IF(E33="","","200"&amp;TEXT(66+ROW()-3,"0000000000"))</f>
        <v/>
      </c>
      <c r="G33" s="10"/>
      <c r="H33" s="10"/>
      <c r="I33" s="8" t="str">
        <f aca="false">IF(OR(G33="",H33=""),"",G33*H33)</f>
        <v/>
      </c>
      <c r="J33" s="10"/>
    </row>
    <row r="34" customFormat="false" ht="15" hidden="false" customHeight="true" outlineLevel="0" collapsed="false">
      <c r="A34" s="8" t="str">
        <f aca="false">IF(E34="","",ROW()-3)</f>
        <v/>
      </c>
      <c r="B34" s="12"/>
      <c r="C34" s="10"/>
      <c r="D34" s="10"/>
      <c r="E34" s="10"/>
      <c r="F34" s="10" t="str">
        <f aca="false">IF(E34="","","200"&amp;TEXT(66+ROW()-3,"0000000000"))</f>
        <v/>
      </c>
      <c r="G34" s="10"/>
      <c r="H34" s="10"/>
      <c r="I34" s="8" t="str">
        <f aca="false">IF(OR(G34="",H34=""),"",G34*H34)</f>
        <v/>
      </c>
      <c r="J34" s="10"/>
    </row>
    <row r="35" customFormat="false" ht="15" hidden="false" customHeight="true" outlineLevel="0" collapsed="false">
      <c r="A35" s="8" t="str">
        <f aca="false">IF(E35="","",ROW()-3)</f>
        <v/>
      </c>
      <c r="B35" s="12"/>
      <c r="C35" s="10"/>
      <c r="D35" s="10"/>
      <c r="E35" s="10"/>
      <c r="F35" s="10" t="str">
        <f aca="false">IF(E35="","","200"&amp;TEXT(66+ROW()-3,"0000000000"))</f>
        <v/>
      </c>
      <c r="G35" s="10"/>
      <c r="H35" s="10"/>
      <c r="I35" s="8" t="str">
        <f aca="false">IF(OR(G35="",H35=""),"",G35*H35)</f>
        <v/>
      </c>
      <c r="J35" s="10"/>
    </row>
    <row r="36" customFormat="false" ht="15" hidden="false" customHeight="true" outlineLevel="0" collapsed="false">
      <c r="A36" s="8" t="str">
        <f aca="false">IF(E36="","",ROW()-3)</f>
        <v/>
      </c>
      <c r="B36" s="12"/>
      <c r="C36" s="10"/>
      <c r="D36" s="10"/>
      <c r="E36" s="10"/>
      <c r="F36" s="10" t="str">
        <f aca="false">IF(E36="","","200"&amp;TEXT(66+ROW()-3,"0000000000"))</f>
        <v/>
      </c>
      <c r="G36" s="10"/>
      <c r="H36" s="10"/>
      <c r="I36" s="8" t="str">
        <f aca="false">IF(OR(G36="",H36=""),"",G36*H36)</f>
        <v/>
      </c>
      <c r="J36" s="10"/>
    </row>
    <row r="37" customFormat="false" ht="15" hidden="false" customHeight="true" outlineLevel="0" collapsed="false">
      <c r="A37" s="8" t="str">
        <f aca="false">IF(E37="","",ROW()-3)</f>
        <v/>
      </c>
      <c r="B37" s="12"/>
      <c r="C37" s="10"/>
      <c r="D37" s="10"/>
      <c r="E37" s="10"/>
      <c r="F37" s="10" t="str">
        <f aca="false">IF(E37="","","200"&amp;TEXT(66+ROW()-3,"0000000000"))</f>
        <v/>
      </c>
      <c r="G37" s="10"/>
      <c r="H37" s="10"/>
      <c r="I37" s="8" t="str">
        <f aca="false">IF(OR(G37="",H37=""),"",G37*H37)</f>
        <v/>
      </c>
      <c r="J37" s="10"/>
    </row>
    <row r="38" customFormat="false" ht="15" hidden="false" customHeight="true" outlineLevel="0" collapsed="false">
      <c r="A38" s="8" t="str">
        <f aca="false">IF(E38="","",ROW()-3)</f>
        <v/>
      </c>
      <c r="B38" s="12"/>
      <c r="C38" s="10"/>
      <c r="D38" s="10"/>
      <c r="E38" s="10"/>
      <c r="F38" s="10" t="str">
        <f aca="false">IF(E38="","","200"&amp;TEXT(66+ROW()-3,"0000000000"))</f>
        <v/>
      </c>
      <c r="G38" s="10"/>
      <c r="H38" s="10"/>
      <c r="I38" s="8" t="str">
        <f aca="false">IF(OR(G38="",H38=""),"",G38*H38)</f>
        <v/>
      </c>
      <c r="J38" s="10"/>
    </row>
    <row r="39" customFormat="false" ht="15" hidden="false" customHeight="true" outlineLevel="0" collapsed="false">
      <c r="A39" s="8" t="str">
        <f aca="false">IF(E39="","",ROW()-3)</f>
        <v/>
      </c>
      <c r="B39" s="12"/>
      <c r="C39" s="10"/>
      <c r="D39" s="10"/>
      <c r="E39" s="10"/>
      <c r="F39" s="10" t="str">
        <f aca="false">IF(E39="","","200"&amp;TEXT(66+ROW()-3,"0000000000"))</f>
        <v/>
      </c>
      <c r="G39" s="10"/>
      <c r="H39" s="10"/>
      <c r="I39" s="8" t="str">
        <f aca="false">IF(OR(G39="",H39=""),"",G39*H39)</f>
        <v/>
      </c>
      <c r="J39" s="10"/>
    </row>
    <row r="40" customFormat="false" ht="15" hidden="false" customHeight="true" outlineLevel="0" collapsed="false">
      <c r="A40" s="8" t="str">
        <f aca="false">IF(E40="","",ROW()-3)</f>
        <v/>
      </c>
      <c r="B40" s="12"/>
      <c r="C40" s="10"/>
      <c r="D40" s="10"/>
      <c r="E40" s="10"/>
      <c r="F40" s="10" t="str">
        <f aca="false">IF(E40="","","200"&amp;TEXT(66+ROW()-3,"0000000000"))</f>
        <v/>
      </c>
      <c r="G40" s="10"/>
      <c r="H40" s="10"/>
      <c r="I40" s="8" t="str">
        <f aca="false">IF(OR(G40="",H40=""),"",G40*H40)</f>
        <v/>
      </c>
      <c r="J40" s="10"/>
    </row>
    <row r="41" customFormat="false" ht="15" hidden="false" customHeight="true" outlineLevel="0" collapsed="false">
      <c r="A41" s="8" t="str">
        <f aca="false">IF(E41="","",ROW()-3)</f>
        <v/>
      </c>
      <c r="B41" s="12"/>
      <c r="C41" s="10"/>
      <c r="D41" s="10"/>
      <c r="E41" s="10"/>
      <c r="F41" s="10" t="str">
        <f aca="false">IF(E41="","","200"&amp;TEXT(66+ROW()-3,"0000000000"))</f>
        <v/>
      </c>
      <c r="G41" s="10"/>
      <c r="H41" s="10"/>
      <c r="I41" s="8" t="str">
        <f aca="false">IF(OR(G41="",H41=""),"",G41*H41)</f>
        <v/>
      </c>
      <c r="J41" s="10"/>
    </row>
    <row r="42" customFormat="false" ht="15" hidden="false" customHeight="true" outlineLevel="0" collapsed="false">
      <c r="A42" s="8" t="str">
        <f aca="false">IF(E42="","",ROW()-3)</f>
        <v/>
      </c>
      <c r="B42" s="12"/>
      <c r="C42" s="10"/>
      <c r="D42" s="10"/>
      <c r="E42" s="10"/>
      <c r="F42" s="10" t="str">
        <f aca="false">IF(E42="","","200"&amp;TEXT(66+ROW()-3,"0000000000"))</f>
        <v/>
      </c>
      <c r="G42" s="10"/>
      <c r="H42" s="10"/>
      <c r="I42" s="8" t="str">
        <f aca="false">IF(OR(G42="",H42=""),"",G42*H42)</f>
        <v/>
      </c>
      <c r="J42" s="10"/>
    </row>
    <row r="43" customFormat="false" ht="15" hidden="false" customHeight="true" outlineLevel="0" collapsed="false">
      <c r="A43" s="8" t="str">
        <f aca="false">IF(E43="","",ROW()-3)</f>
        <v/>
      </c>
      <c r="B43" s="12"/>
      <c r="C43" s="10"/>
      <c r="D43" s="10"/>
      <c r="E43" s="10"/>
      <c r="F43" s="10" t="str">
        <f aca="false">IF(E43="","","200"&amp;TEXT(66+ROW()-3,"0000000000"))</f>
        <v/>
      </c>
      <c r="G43" s="10"/>
      <c r="H43" s="10"/>
      <c r="I43" s="8" t="str">
        <f aca="false">IF(OR(G43="",H43=""),"",G43*H43)</f>
        <v/>
      </c>
      <c r="J43" s="10"/>
    </row>
    <row r="44" customFormat="false" ht="15" hidden="false" customHeight="true" outlineLevel="0" collapsed="false">
      <c r="A44" s="13"/>
      <c r="B44" s="13"/>
      <c r="C44" s="13"/>
      <c r="D44" s="13" t="s">
        <v>183</v>
      </c>
      <c r="E44" s="13"/>
      <c r="F44" s="13"/>
      <c r="G44" s="13" t="n">
        <f aca="false">SUM(G4:G43)</f>
        <v>79</v>
      </c>
      <c r="H44" s="13"/>
      <c r="I44" s="13" t="n">
        <f aca="false">SUM(I4:I43)</f>
        <v>30400</v>
      </c>
      <c r="J44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2026-07-04T13:44:44Z</dcterms:created>
  <dc:creator>openpyxl</dc:creator>
  <dc:description/>
  <dc:language>en-US</dc:language>
  <cp:lastModifiedBy/>
  <dcterms:modified xsi:type="dcterms:W3CDTF">2026-07-17T02:58:25Z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